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ras aclaraciones" sheetId="2" state="visible" r:id="rId4"/>
    <sheet name="Comparativo" sheetId="3" state="visible" r:id="rId5"/>
    <sheet name="Alternativas aéreas" sheetId="4" state="visible" r:id="rId6"/>
  </sheets>
  <definedNames>
    <definedName function="false" hidden="true" localSheetId="2" name="_xlnm._FilterDatabase" vbProcedure="false">Comparativo!$A$4:$J$40</definedName>
    <definedName function="false" hidden="true" localSheetId="1" name="_xlnm._FilterDatabase" vbProcedure="false">'Tras aclaraciones'!$A$4:$M$40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<sst xmlns="http://schemas.openxmlformats.org/spreadsheetml/2006/main" count="904" uniqueCount="322">
  <si>
    <t xml:space="preserve">Resumen de cumplimiento por agencia</t>
  </si>
  <si>
    <t xml:space="preserve">Se recalcula automáticamente si se modifican los estados en la hoja Comparativo. Puntaje: Cumple=1, Parcial=0,5, resto=0.</t>
  </si>
  <si>
    <t xml:space="preserve">Estado</t>
  </si>
  <si>
    <t xml:space="preserve">Dannemann</t>
  </si>
  <si>
    <t xml:space="preserve">Buzios Tour</t>
  </si>
  <si>
    <t xml:space="preserve">InMotion</t>
  </si>
  <si>
    <t xml:space="preserve">Cumple</t>
  </si>
  <si>
    <t xml:space="preserve">Parcial</t>
  </si>
  <si>
    <t xml:space="preserve">No cumple</t>
  </si>
  <si>
    <t xml:space="preserve">No informa</t>
  </si>
  <si>
    <t xml:space="preserve">Total requisitos</t>
  </si>
  <si>
    <t xml:space="preserve">Puntaje (Cumple + ½ Parcial)</t>
  </si>
  <si>
    <t xml:space="preserve">% de cumplimiento</t>
  </si>
  <si>
    <t xml:space="preserve">Ranking</t>
  </si>
  <si>
    <t xml:space="preserve">Observaciones clave</t>
  </si>
  <si>
    <t xml:space="preserve">Sin chárter válido: Andes opera solo desde EZE; AR y JetSMART chárter pendientes (pide prórroga). Catering opcional, alojamiento de tripulación no incluido explícitamente, staff 04 y 05/04 no cotizado, nominación incompatible con el pliego.</t>
  </si>
  <si>
    <t xml:space="preserve">Mejor alcance: JetSMART A321 de 195 pax desde AEP cubre todo el grupo. Es "documento de trabajo": sin horarios, sin vuelos de staff, sin políticas ni contingencias. Opción AR (169 pax) no alcanza el mínimo de 170.</t>
  </si>
  <si>
    <t xml:space="preserve">Única con vuelos de staff concretos. Chárter JetSMART A321 desde AEP, pero ida 07:02 fuera de franja; horarios idénticos a vuelos regulares JetSMART (confirmar que sea aeronave exclusiva). No informa capacidad, inclusiones, soporte, dietas ni políticas.</t>
  </si>
  <si>
    <t xml:space="preserve">Todas</t>
  </si>
  <si>
    <t xml:space="preserve">Ninguna presenta la documentación de II.2.1.1 (antecedentes, equipo, clientes, estatuto, poderes, patrimonio) ni plan de contingencia, políticas de cancelación/penalidad, validez y referencias.</t>
  </si>
  <si>
    <t xml:space="preserve">Pliego</t>
  </si>
  <si>
    <t xml:space="preserve">II.1 menciona "Servicio de activación stand ExpoAgro 2027" y II.2.4 habla de construcción/stand: errores de copiado a aclarar a los oferentes.</t>
  </si>
  <si>
    <t xml:space="preserve">Tras aclaraciones (29/10/2026)</t>
  </si>
  <si>
    <t xml:space="preserve">Variación vs. inicial (p.p.)</t>
  </si>
  <si>
    <t xml:space="preserve">Inconsistencias entre agencias</t>
  </si>
  <si>
    <t xml:space="preserve">Andes desde AEP: Buzios dice que es posible por USD 12.000 extra; Dannemann dice que opera solo desde EZE. JetSMART A321: Buzios informa 195 plazas, InMotion 200, Dannemann no tiene el modelo. Conviene validarlo directamente con las aerolíneas.</t>
  </si>
  <si>
    <t xml:space="preserve">Sin resolver en ninguna</t>
  </si>
  <si>
    <t xml:space="preserve">Documentación del punto II.2.1.1, habilitación ANAC adjunta y firma certificada por escribano. Para el staff, todas aclaran que la tarifa individual no se congela ni admite cambio de nombre: hay que nominar y emitir antes de las 2 semanas.</t>
  </si>
  <si>
    <t xml:space="preserve">Comparativo tras las aclaraciones (respuestas recibidas el 29/10/2026)</t>
  </si>
  <si>
    <t xml:space="preserve">Dannemann: evaluado sobre la opción Andes (la única con datos). Su nueva opción JetSMART tiene casi todo pendiente. Las columnas "Inicial" vienen de la hoja Comparativo.</t>
  </si>
  <si>
    <t xml:space="preserve">#</t>
  </si>
  <si>
    <t xml:space="preserve">Bloque</t>
  </si>
  <si>
    <t xml:space="preserve">Ref. pliego</t>
  </si>
  <si>
    <t xml:space="preserve">Requisito</t>
  </si>
  <si>
    <t xml:space="preserve">Dannemann – Inicial</t>
  </si>
  <si>
    <t xml:space="preserve">Dannemann – Actual</t>
  </si>
  <si>
    <t xml:space="preserve">Dannemann – Detalle</t>
  </si>
  <si>
    <t xml:space="preserve">Buzios – Inicial</t>
  </si>
  <si>
    <t xml:space="preserve">Buzios – Actual</t>
  </si>
  <si>
    <t xml:space="preserve">Buzios – Detalle</t>
  </si>
  <si>
    <t xml:space="preserve">InMotion – Inicial</t>
  </si>
  <si>
    <t xml:space="preserve">InMotion – Actual</t>
  </si>
  <si>
    <t xml:space="preserve">InMotion – Detalle</t>
  </si>
  <si>
    <t xml:space="preserve">Aeronave y operación</t>
  </si>
  <si>
    <t xml:space="preserve">II.3 §1 / §3.1</t>
  </si>
  <si>
    <t xml:space="preserve">Chárter desde/hacia Aeroparque (AEP)</t>
  </si>
  <si>
    <t xml:space="preserve">Andes sigue operando solo desde EZE (Buzios dice que puede salir de AEP; hay que verificarlo). Nueva opción JetSMART desde AEP, sin avión ni condiciones confirmadas.</t>
  </si>
  <si>
    <t xml:space="preserve">Andes puede salir de AEP con USD 12.000 extra. JetSMART y AR, desde AEP.</t>
  </si>
  <si>
    <t xml:space="preserve">JetSMART A321 desde AEP.</t>
  </si>
  <si>
    <t xml:space="preserve">II.3 §1</t>
  </si>
  <si>
    <t xml:space="preserve">Capacidad chárter ≥170 pax (ideal 195)</t>
  </si>
  <si>
    <t xml:space="preserve">Andes 183. JetSMART 195 pax en un solo vuelo, con avión pendiente de confirmar.</t>
  </si>
  <si>
    <t xml:space="preserve">AR sigue en 169 (pendiente). Andes 183. JetSMART 195.</t>
  </si>
  <si>
    <t xml:space="preserve">A321 de 200 plazas: entran los 195.</t>
  </si>
  <si>
    <t xml:space="preserve">II.3 §3.1</t>
  </si>
  <si>
    <t xml:space="preserve">Tipo, modelo, línea aérea, capacidad y configuración de cabina</t>
  </si>
  <si>
    <t xml:space="preserve">Andes 737-800 NG, 183 plazas en clase única. JetSMART: modelo y configuración pendientes.</t>
  </si>
  <si>
    <t xml:space="preserve">JetSMART: 195 plazas en clase turista. Sin configuración para AR ni Andes.</t>
  </si>
  <si>
    <t xml:space="preserve">200 plazas; no detalla configuración.</t>
  </si>
  <si>
    <t xml:space="preserve">II.3 §2.1</t>
  </si>
  <si>
    <t xml:space="preserve">Horarios dentro de la franja 12:00–18:00 (ida 06/04 y regreso 08/04)</t>
  </si>
  <si>
    <t xml:space="preserve">Andes podría operar en la franja (aprobación en 48 h). JetSMART pendiente. Sin horarios concretos.</t>
  </si>
  <si>
    <t xml:space="preserve">Ida 12:30–14:45 y regreso 14:30–16:40, sujetos a slots.</t>
  </si>
  <si>
    <t xml:space="preserve">Pedirán la franja de 12 a 18 h a JetSMART; sin horario concreto ni garantía.</t>
  </si>
  <si>
    <t xml:space="preserve">Operador habilitado por ANAC para vuelos no regulares (con habilitación)</t>
  </si>
  <si>
    <t xml:space="preserve">Andes declara permisos incluidos; no adjunta habilitación.</t>
  </si>
  <si>
    <t xml:space="preserve">Son aerolíneas regulares; los permisos se tramitan al aceptar. No adjunta habilitación.</t>
  </si>
  <si>
    <t xml:space="preserve">No la compartieron; aerolínea regular con la ruta habilitada.</t>
  </si>
  <si>
    <t xml:space="preserve">Ferry o permanencia de la aeronave en destino incluida</t>
  </si>
  <si>
    <t xml:space="preserve">Andes: avión y tripulación quedan en BRC, incluido. JetSMART pendiente.</t>
  </si>
  <si>
    <t xml:space="preserve">Incluido según la modalidad de cada alternativa.</t>
  </si>
  <si>
    <t xml:space="preserve">El avión vuelve a BA o sigue en su red regular; incluido.</t>
  </si>
  <si>
    <t xml:space="preserve">Combustible y costos operativos incluidos</t>
  </si>
  <si>
    <t xml:space="preserve">Andes: incluido. JetSMART: a cargo de la compañía.</t>
  </si>
  <si>
    <t xml:space="preserve">Precio cerrado: incluido.</t>
  </si>
  <si>
    <t xml:space="preserve">Todo contemplado.</t>
  </si>
  <si>
    <t xml:space="preserve">Franquicia de equipaje (mano y despachado: piezas y peso)</t>
  </si>
  <si>
    <t xml:space="preserve">Andes: 5 kg a bordo + 15 kg en bodega (la franquicia más baja). JetSMART: 10 + 20 kg.</t>
  </si>
  <si>
    <t xml:space="preserve">AR 8+20 kg · JetSMART 10+20 kg · Andes 8+20 kg.</t>
  </si>
  <si>
    <t xml:space="preserve">Chárter 8+20 kg · Staff 8+15 kg.</t>
  </si>
  <si>
    <t xml:space="preserve">Tripulación</t>
  </si>
  <si>
    <t xml:space="preserve">II.3 §3.2</t>
  </si>
  <si>
    <t xml:space="preserve">Gastos de tripulación (honorarios, viáticos, alojamiento, traslados, comidas) incluidos</t>
  </si>
  <si>
    <t xml:space="preserve">Andes: alojamiento de la tripulación y traslados incluidos y gestionados por la agencia. JetSMART pendiente.</t>
  </si>
  <si>
    <t xml:space="preserve">Incluido.</t>
  </si>
  <si>
    <t xml:space="preserve">Sin pernocte de tripulación; todo incluido.</t>
  </si>
  <si>
    <t xml:space="preserve">Llave en mano</t>
  </si>
  <si>
    <t xml:space="preserve">II.3 §3.3</t>
  </si>
  <si>
    <t xml:space="preserve">Permisos ANAC, tasas aeroportuarias, aterrizaje, estacionamiento, pernocte</t>
  </si>
  <si>
    <t xml:space="preserve">Andes: incluido. JetSMART pendiente.</t>
  </si>
  <si>
    <t xml:space="preserve">Handling, rampa, check-in y despacho (AA2000, Intercargo, PSA, EANA)</t>
  </si>
  <si>
    <t xml:space="preserve">Incluido (AA2000, Intercargo, PSA, EANA).</t>
  </si>
  <si>
    <t xml:space="preserve">Seguros (aeronave, pasajeros, responsabilidad civil)</t>
  </si>
  <si>
    <t xml:space="preserve">Pasajeros excedentes</t>
  </si>
  <si>
    <t xml:space="preserve">II.3 §3.4</t>
  </si>
  <si>
    <t xml:space="preserve">Pasajes de línea para excedentes (aerolínea, vuelo, horario, tarifa, equipaje, cambios y devolución)</t>
  </si>
  <si>
    <t xml:space="preserve">12 excedentes de Andes: pidió reserva grupal a AR, sin respuesta.</t>
  </si>
  <si>
    <t xml:space="preserve">AR1674 / AR1673, USD 350 ida y vuelta, 8+15 kg. Devolución parcial y cargo de cambio variable.</t>
  </si>
  <si>
    <t xml:space="preserve">No aplica: entran todos en el A321.</t>
  </si>
  <si>
    <t xml:space="preserve">Costo chárter y pasajes de línea presentados por separado</t>
  </si>
  <si>
    <t xml:space="preserve">A verificar en la oferta económica.</t>
  </si>
  <si>
    <t xml:space="preserve">Excedentes con tarifa propia (USD 350).</t>
  </si>
  <si>
    <t xml:space="preserve">No hay excedentes.</t>
  </si>
  <si>
    <t xml:space="preserve">Staff en avanzada</t>
  </si>
  <si>
    <t xml:space="preserve">II.3 §2.2</t>
  </si>
  <si>
    <t xml:space="preserve">Grupo A: 5 pax AEP→BRC dom 04/04 y regreso jue 08/04</t>
  </si>
  <si>
    <t xml:space="preserve">$1.640.574 por persona ida y vuelta (incluye 10% de emisión). Tarifa flexible con devolución.</t>
  </si>
  <si>
    <t xml:space="preserve">AR1670 (04/04) / AR1677 (08/04), USD 350 estimado.</t>
  </si>
  <si>
    <t xml:space="preserve">Vuelos informados; sin tarifa (individual, fluctuante) y sin cambio de nombre.</t>
  </si>
  <si>
    <t xml:space="preserve">Grupo B: 5 pax AEP→BRC lun 05/04 y regreso jue 08/04</t>
  </si>
  <si>
    <t xml:space="preserve">Igual que el Grupo A.</t>
  </si>
  <si>
    <t xml:space="preserve">AR1672 (05/04) / AR1677 (08/04), USD 350 estimado.</t>
  </si>
  <si>
    <t xml:space="preserve">Vuelos informados; sin tarifa y sin cambio de nombre.</t>
  </si>
  <si>
    <t xml:space="preserve">Nominación</t>
  </si>
  <si>
    <t xml:space="preserve">II.3 §2.1 / §2.2</t>
  </si>
  <si>
    <t xml:space="preserve">Nominación de todos los pasajeros dentro de las 2 semanas previas</t>
  </si>
  <si>
    <t xml:space="preserve">Andes: muy flexible (manifiesto 48 h, cambios hasta 12–24 h). JetSMART pendiente. Staff: se nomina al emitir.</t>
  </si>
  <si>
    <t xml:space="preserve">Manifiesto 15 días antes, más rígido que el pliego (dentro de los 14 días). Nombres sin cargo hasta el manifiesto.</t>
  </si>
  <si>
    <t xml:space="preserve">Chárter: dentro de 2 semanas, cambios de nombre hasta 48 h. Staff: al emitir, sin cambios.</t>
  </si>
  <si>
    <t xml:space="preserve">Servicio a bordo</t>
  </si>
  <si>
    <t xml:space="preserve">II.3 §3.5</t>
  </si>
  <si>
    <t xml:space="preserve">Refrigerio incluido para todos los pasajeros en ambos tramos</t>
  </si>
  <si>
    <t xml:space="preserve">Andes: USD 30 por persona (aclarar si está incluido o es adicional). JetSMART pendiente.</t>
  </si>
  <si>
    <t xml:space="preserve">Sándwich de jamón y queso + alfajor. No menciona bebidas ni confirma ambos tramos.</t>
  </si>
  <si>
    <t xml:space="preserve">JetSMART no da servicio; están consultando un catering. Solo frío, menú a confirmar.</t>
  </si>
  <si>
    <t xml:space="preserve">Opciones de menú y dietas especiales (celíacos, vegetarianos, veganos)</t>
  </si>
  <si>
    <t xml:space="preserve">Celíacos y vegetarianos sin costo extra; vegano con 14 días de aviso.</t>
  </si>
  <si>
    <t xml:space="preserve">"Se solicitarán al operador".</t>
  </si>
  <si>
    <t xml:space="preserve">A confirmar.</t>
  </si>
  <si>
    <t xml:space="preserve">Branding</t>
  </si>
  <si>
    <t xml:space="preserve">Posibilidades de branding (headrest, catering, altavoz, gráfica cabina/puerta, ploteo, boarding pass)</t>
  </si>
  <si>
    <t xml:space="preserve">Andes detalla cada elemento y sus restricciones. JetSMART pendiente.</t>
  </si>
  <si>
    <t xml:space="preserve">Lo informará 10 días hábiles después de confirmar el operador.</t>
  </si>
  <si>
    <t xml:space="preserve">Apoyacabezas y anuncios: viables. Gráfica, ploteo y boarding pass: no permitidos.</t>
  </si>
  <si>
    <t xml:space="preserve">Restricciones técnicas/regulatorias, plazos de producción y costos (opcional)</t>
  </si>
  <si>
    <t xml:space="preserve">Andes: a cotizar contra diseño.</t>
  </si>
  <si>
    <t xml:space="preserve">Diferido.</t>
  </si>
  <si>
    <t xml:space="preserve">Costos a confirmar.</t>
  </si>
  <si>
    <t xml:space="preserve">Soporte en aeropuertos</t>
  </si>
  <si>
    <t xml:space="preserve">II.3 §3.6</t>
  </si>
  <si>
    <t xml:space="preserve">Personal de la agencia en check-in, equipaje y embarque (chárter y línea)</t>
  </si>
  <si>
    <t xml:space="preserve">2 personas en check-in en BA + 2 en BRC (no pueden intervenir en el check-in).</t>
  </si>
  <si>
    <t xml:space="preserve">Chárter: 4 en AEP y 4 en BRC. Vuelos de línea: 1 persona por tramo. Horarios definidos.</t>
  </si>
  <si>
    <t xml:space="preserve">2 en AEP + 3 que acompañan al grupo y hacen el despacho en BRC.</t>
  </si>
  <si>
    <t xml:space="preserve">Coordinador general con contacto 24 h</t>
  </si>
  <si>
    <t xml:space="preserve">Coordinador 24 h previsto (sin nombre).</t>
  </si>
  <si>
    <t xml:space="preserve">Valeria Albo, E. Bensousan y W. Nessi; el celular quedó como "[+54 9 11 XXXX-XXXX]".</t>
  </si>
  <si>
    <t xml:space="preserve">Incluido en el fee; sin nombre ni contacto.</t>
  </si>
  <si>
    <t xml:space="preserve">Personal con chomba VW, identificación y listado de pasajeros</t>
  </si>
  <si>
    <t xml:space="preserve">Confirmado.</t>
  </si>
  <si>
    <t xml:space="preserve">Las chombas VW las tiene que entregar VW.</t>
  </si>
  <si>
    <t xml:space="preserve">Check-in</t>
  </si>
  <si>
    <t xml:space="preserve">II.3 §3.7</t>
  </si>
  <si>
    <t xml:space="preserve">Opciones de check-in (presencial / online) y costo adicional</t>
  </si>
  <si>
    <t xml:space="preserve">Presencial; se puede preasignar asientos.</t>
  </si>
  <si>
    <t xml:space="preserve">Presencial sin costo; web check-in si está la documentación.</t>
  </si>
  <si>
    <t xml:space="preserve">Presencial sin costo.</t>
  </si>
  <si>
    <t xml:space="preserve">Información a presentar</t>
  </si>
  <si>
    <t xml:space="preserve">II.3 §4</t>
  </si>
  <si>
    <t xml:space="preserve">Datos de la empresa oferente y operadora con habilitación ANAC</t>
  </si>
  <si>
    <t xml:space="preserve">Andes identificada; sin habilitación adjunta.</t>
  </si>
  <si>
    <t xml:space="preserve">Operadores identificados; sin habilitación adjunta.</t>
  </si>
  <si>
    <t xml:space="preserve">Sin datos del operador.</t>
  </si>
  <si>
    <t xml:space="preserve">Condiciones de pago, plazo y cronograma de anticipos</t>
  </si>
  <si>
    <t xml:space="preserve">Andes: seña 40% y saldo unos 15 días hábiles antes. JetSMART pendiente.</t>
  </si>
  <si>
    <t xml:space="preserve">No lo informa.</t>
  </si>
  <si>
    <t xml:space="preserve">Menciona una seña, sin % ni cronograma.</t>
  </si>
  <si>
    <t xml:space="preserve">Políticas de cancelación, modificación de cantidad y cambio de nombres</t>
  </si>
  <si>
    <t xml:space="preserve">Andes: devuelve la seña si se cancela con 60+ días. Sin penalidad por nombres o bajas (el precio no baja).</t>
  </si>
  <si>
    <t xml:space="preserve">Sin devolución una vez confirmado. Precio por avión. Nombres sin cargo hasta el manifiesto.</t>
  </si>
  <si>
    <t xml:space="preserve">Sin cancelación después de la seña. Nombres sin cargo hasta 48 h. Precio por avión.</t>
  </si>
  <si>
    <t xml:space="preserve">Políticas de penalidad de la aerolínea</t>
  </si>
  <si>
    <t xml:space="preserve">Informadas (Andes).</t>
  </si>
  <si>
    <t xml:space="preserve">Informadas.</t>
  </si>
  <si>
    <t xml:space="preserve">Fecha límite del manifiesto final</t>
  </si>
  <si>
    <t xml:space="preserve">48 h antes (Andes).</t>
  </si>
  <si>
    <t xml:space="preserve">15 días antes.</t>
  </si>
  <si>
    <t xml:space="preserve">7 días hábiles antes.</t>
  </si>
  <si>
    <t xml:space="preserve">Plan de contingencia (demoras, cancelación, fallas técnicas, aeronave de reemplazo)</t>
  </si>
  <si>
    <t xml:space="preserve">Andes: puede sustituir el avión, backup dentro de 6 h, asume pernoctes y comidas. No garantiza un avión de reemplazo inmediato.</t>
  </si>
  <si>
    <t xml:space="preserve">AR y JetSMART ponen avión de reemplazo; no cubre a Andes.</t>
  </si>
  <si>
    <t xml:space="preserve">JetSMART prioriza el chárter y sustituye el avión, con posible demora.</t>
  </si>
  <si>
    <t xml:space="preserve">Validez de la oferta</t>
  </si>
  <si>
    <t xml:space="preserve">30 días desde el 23/10 (hasta el 22/11).</t>
  </si>
  <si>
    <t xml:space="preserve">Hasta el 7/11, sujeta a disponibilidad.</t>
  </si>
  <si>
    <t xml:space="preserve">Una semana desde el envío; no garantiza la tarifa.</t>
  </si>
  <si>
    <t xml:space="preserve">Referencias de operaciones similares</t>
  </si>
  <si>
    <t xml:space="preserve">No presenta.</t>
  </si>
  <si>
    <t xml:space="preserve">Globant BOTY 2026 (500 pax), VW Postventa, VW Camiones, lanzamiento Amarok en Bariloche.</t>
  </si>
  <si>
    <t xml:space="preserve">3 chárters en 2026: Andes 150 pax, AR 2 aviones/400 pax, 175 pax a João Pessoa.</t>
  </si>
  <si>
    <t xml:space="preserve">Oferta técnica</t>
  </si>
  <si>
    <t xml:space="preserve">II.2.1.1</t>
  </si>
  <si>
    <t xml:space="preserve">Antecedentes técnicos, equipo asignado, ventas 5 años, clientes actuales y anteriores</t>
  </si>
  <si>
    <t xml:space="preserve">Sigue sin presentarse.</t>
  </si>
  <si>
    <t xml:space="preserve">Estatuto, órgano de administración, poderes del firmante y patrimonio neto</t>
  </si>
  <si>
    <t xml:space="preserve">Formalidades</t>
  </si>
  <si>
    <t xml:space="preserve">II.2.1 / II.5</t>
  </si>
  <si>
    <t xml:space="preserve">PDF firmado, firma certificada y legalizada por escribano</t>
  </si>
  <si>
    <t xml:space="preserve">Carta firmada; sin certificación notarial.</t>
  </si>
  <si>
    <t xml:space="preserve">Firmada por el Presidente; sin certificación notarial.</t>
  </si>
  <si>
    <t xml:space="preserve">Firmada por la Jefa Comercial; sin certificación notarial.</t>
  </si>
  <si>
    <t xml:space="preserve">Vuelos Evento Bariloche 2027 – Comparativo técnico de propuestas vs. Pliego (Anexo 7, Parte II.3)</t>
  </si>
  <si>
    <t xml:space="preserve">Fuente: propuestas técnicas de Viajes Dannemann (23/10/2026), Buzios Tour (oct-2026) e InMotion. Estados: Cumple / Parcial / No cumple / No informa.</t>
  </si>
  <si>
    <t xml:space="preserve">Dannemann – Estado</t>
  </si>
  <si>
    <t xml:space="preserve">Buzios – Estado</t>
  </si>
  <si>
    <t xml:space="preserve">InMotion – Estado</t>
  </si>
  <si>
    <t xml:space="preserve">Única opción chárter: Andes desde Ezeiza (no tiene amarre en AEP). Cotizaciones chárter de AR y JetSMART pendientes; pide prórroga.</t>
  </si>
  <si>
    <t xml:space="preserve">3 alternativas: AR (AEP), Andes (EZE), JetSMART (AEP). Solo AR y JetSMART cumplen AEP.</t>
  </si>
  <si>
    <t xml:space="preserve">JetSMART A321, Aeroparque–Bariloche–Aeroparque.</t>
  </si>
  <si>
    <t xml:space="preserve">Andes B737-800 NG: 183 pax.</t>
  </si>
  <si>
    <t xml:space="preserve">AR 737-800: 169 pax (no llega a 170). Andes: 183. JetSMART A321: 195 (cumple total).</t>
  </si>
  <si>
    <t xml:space="preserve">No informa la capacidad del A321 ni la configuración de cabina.</t>
  </si>
  <si>
    <t xml:space="preserve">Indica aeronave, operador y capacidad; falta configuración de cabina.</t>
  </si>
  <si>
    <t xml:space="preserve">Indica aeronave, operador y capacidad por alternativa; falta configuración de cabina.</t>
  </si>
  <si>
    <t xml:space="preserve">Solo indica A321 y JetSMART.</t>
  </si>
  <si>
    <t xml:space="preserve">"Se confirmarán según disponibilidad de recursos".</t>
  </si>
  <si>
    <t xml:space="preserve">No propone horarios del chárter.</t>
  </si>
  <si>
    <t xml:space="preserve">Ida 07:02–09:27 (fuera de franja). Regreso 17:40–19:47 (dentro de franja).</t>
  </si>
  <si>
    <t xml:space="preserve">No adjunta habilitación ANAC de Andes.</t>
  </si>
  <si>
    <t xml:space="preserve">Declara "operador habilitado ANAC"; no adjunta habilitación.</t>
  </si>
  <si>
    <t xml:space="preserve">No informa operador ni habilitación.</t>
  </si>
  <si>
    <t xml:space="preserve">Indica que la aeronave permanece en Bariloche; no aclara si el costo está incluido.</t>
  </si>
  <si>
    <t xml:space="preserve">Declara ferry o estadía incluidos.</t>
  </si>
  <si>
    <t xml:space="preserve">No lo menciona.</t>
  </si>
  <si>
    <t xml:space="preserve">No lo declara.</t>
  </si>
  <si>
    <t xml:space="preserve">Declara gastos aeroportuarios de la aeronave incluidos; no menciona combustible explícitamente.</t>
  </si>
  <si>
    <t xml:space="preserve">Solo indica "equipaje despachado" en vuelos regulares; sin piezas ni peso. Nada para el chárter.</t>
  </si>
  <si>
    <t xml:space="preserve">No la informa.</t>
  </si>
  <si>
    <t xml:space="preserve">Indica que la operación "requiere" 10 habitaciones single x 2 noches y traslados para la tripulación, sin aclarar que estén incluidos (riesgo de costo extra para VW).</t>
  </si>
  <si>
    <t xml:space="preserve">Declara tripulación, hotelería y traslados de tripulación incluidos.</t>
  </si>
  <si>
    <t xml:space="preserve">Declara tasas e impuestos aeroportuarios incluidos.</t>
  </si>
  <si>
    <t xml:space="preserve">Declara gastos aeroportuarios incluidos, sin detalle.</t>
  </si>
  <si>
    <t xml:space="preserve">Declara seguros incluidos; no detalla coberturas.</t>
  </si>
  <si>
    <t xml:space="preserve">Lista horarios AR y JetSMART; no indica cantidad de excedentes (12 con Andes), tarifa, flexibilidad ni condiciones.</t>
  </si>
  <si>
    <t xml:space="preserve">Menciona +26 (AR) y +12 (Andes) en vuelo regular; sin vuelos, tarifa ni condiciones.</t>
  </si>
  <si>
    <t xml:space="preserve">No lo aclara (depende de la capacidad del A321).</t>
  </si>
  <si>
    <t xml:space="preserve">No cotiza vuelos del 04/04.</t>
  </si>
  <si>
    <t xml:space="preserve">Transcribe el requerimiento; no propone vuelos.</t>
  </si>
  <si>
    <t xml:space="preserve">AR1670 04ABR 09:20–11:45 / AR1675 08ABR 15:25–17:30.</t>
  </si>
  <si>
    <t xml:space="preserve">No cotiza vuelos del 05/04.</t>
  </si>
  <si>
    <t xml:space="preserve">AR1672 05ABR 11:10–13:35 / AR1675 08ABR 15:25–17:30.</t>
  </si>
  <si>
    <t xml:space="preserve">Para regulares exige nómina y emisión el mismo día de la reserva.</t>
  </si>
  <si>
    <t xml:space="preserve">Nominación final dentro de los 14 días previos.</t>
  </si>
  <si>
    <t xml:space="preserve">Catering "opcional, sujeto a disponibilidad": sándwich solo en la ida; bebidas en ambos tramos.</t>
  </si>
  <si>
    <t xml:space="preserve">Refrigerio dulce y salado con bebidas, ida y vuelta.</t>
  </si>
  <si>
    <t xml:space="preserve">Muestra agua, frutas y sándwiches; no aclara si es en ambos tramos ni si está incluido.</t>
  </si>
  <si>
    <t xml:space="preserve">No contempla.</t>
  </si>
  <si>
    <t xml:space="preserve">No detalla menú ni dietas especiales.</t>
  </si>
  <si>
    <t xml:space="preserve">No lo trata.</t>
  </si>
  <si>
    <t xml:space="preserve">Ploteo, catering especial, boarding pass, mesas rebatibles, anuncio del comandante, video, stickers, photo opportunity.</t>
  </si>
  <si>
    <t xml:space="preserve">Apoyacabezas, servilletas y vasos.</t>
  </si>
  <si>
    <t xml:space="preserve">Todo "a cotizar"; sin plazos ni restricciones.</t>
  </si>
  <si>
    <t xml:space="preserve">Sin costos, plazos ni restricciones.</t>
  </si>
  <si>
    <t xml:space="preserve">No lo contempla.</t>
  </si>
  <si>
    <t xml:space="preserve">Coordinación presencial en ambos aeropuertos; no indica cantidad de personas ni horario.</t>
  </si>
  <si>
    <t xml:space="preserve">Contacto 24 h.</t>
  </si>
  <si>
    <t xml:space="preserve">Menciona check-in sin detallar modalidad ni costo.</t>
  </si>
  <si>
    <t xml:space="preserve">Identifica a Andes Líneas Aéreas S.A.; sin habilitación.</t>
  </si>
  <si>
    <t xml:space="preserve">No adjunta datos de operadoras.</t>
  </si>
  <si>
    <t xml:space="preserve">No adjunta.</t>
  </si>
  <si>
    <t xml:space="preserve">Remite a la propuesta económica.</t>
  </si>
  <si>
    <t xml:space="preserve">No las informa.</t>
  </si>
  <si>
    <t xml:space="preserve">Dentro de los 14 días previos; sin fecha límite exacta.</t>
  </si>
  <si>
    <t xml:space="preserve">No lo presenta.</t>
  </si>
  <si>
    <t xml:space="preserve">No la informa. Además aclara que la propuesta no implica confirmación de Andes.</t>
  </si>
  <si>
    <t xml:space="preserve">No la informa ("cotizaciones pendientes").</t>
  </si>
  <si>
    <t xml:space="preserve">No las presenta.</t>
  </si>
  <si>
    <t xml:space="preserve">No los presenta.</t>
  </si>
  <si>
    <t xml:space="preserve">Carta firmada por el Director General; sin certificación notarial visible.</t>
  </si>
  <si>
    <t xml:space="preserve">Presentación sin firma ("documento de trabajo").</t>
  </si>
  <si>
    <t xml:space="preserve">Presentación sin firma.</t>
  </si>
  <si>
    <t xml:space="preserve">Alternativas de vuelo propuestas</t>
  </si>
  <si>
    <t xml:space="preserve">Agencia</t>
  </si>
  <si>
    <t xml:space="preserve">Tipo</t>
  </si>
  <si>
    <t xml:space="preserve">Aerolínea / operador</t>
  </si>
  <si>
    <t xml:space="preserve">Aeronave</t>
  </si>
  <si>
    <t xml:space="preserve">Capacidad (pax)</t>
  </si>
  <si>
    <t xml:space="preserve">Aeropuerto BA</t>
  </si>
  <si>
    <t xml:space="preserve">Tramo</t>
  </si>
  <si>
    <t xml:space="preserve">Fecha</t>
  </si>
  <si>
    <t xml:space="preserve">Horario</t>
  </si>
  <si>
    <t xml:space="preserve">Pax excedentes a vuelo regular</t>
  </si>
  <si>
    <t xml:space="preserve">Cumple AEP</t>
  </si>
  <si>
    <t xml:space="preserve">Cumple ≥170 pax</t>
  </si>
  <si>
    <t xml:space="preserve">Horario en franja 12–18</t>
  </si>
  <si>
    <t xml:space="preserve">Chárter</t>
  </si>
  <si>
    <t xml:space="preserve">Andes Líneas Aéreas</t>
  </si>
  <si>
    <t xml:space="preserve">Boeing 737-800 NG</t>
  </si>
  <si>
    <t xml:space="preserve">EZE</t>
  </si>
  <si>
    <t xml:space="preserve">Ida/Regreso</t>
  </si>
  <si>
    <t xml:space="preserve">06/04 – 08/04</t>
  </si>
  <si>
    <t xml:space="preserve">A confirmar</t>
  </si>
  <si>
    <t xml:space="preserve">No</t>
  </si>
  <si>
    <t xml:space="preserve">Sí</t>
  </si>
  <si>
    <t xml:space="preserve">Aerolíneas Argentinas</t>
  </si>
  <si>
    <t xml:space="preserve">—</t>
  </si>
  <si>
    <t xml:space="preserve">AEP</t>
  </si>
  <si>
    <t xml:space="preserve">Cotización pendiente</t>
  </si>
  <si>
    <t xml:space="preserve">JetSMART</t>
  </si>
  <si>
    <t xml:space="preserve">Regular</t>
  </si>
  <si>
    <t xml:space="preserve">Ida</t>
  </si>
  <si>
    <t xml:space="preserve">06/04</t>
  </si>
  <si>
    <t xml:space="preserve">11:10 / 12:10 / 14:15 / 15:15 / 16:15 / 19:15</t>
  </si>
  <si>
    <t xml:space="preserve">Regreso</t>
  </si>
  <si>
    <t xml:space="preserve">08/04</t>
  </si>
  <si>
    <t xml:space="preserve">09:25 / 11:25 / 14:25 / 15:25 / 17:30 / 20:30</t>
  </si>
  <si>
    <t xml:space="preserve">07:02 / 12:10 / 17:50</t>
  </si>
  <si>
    <t xml:space="preserve">09:10 / 10:10 / 17:40 / 22:13</t>
  </si>
  <si>
    <t xml:space="preserve">Boeing 737-800</t>
  </si>
  <si>
    <t xml:space="preserve">Airbus A321</t>
  </si>
  <si>
    <t xml:space="preserve">07:02 – 09:27</t>
  </si>
  <si>
    <t xml:space="preserve">17:40 – 19:47</t>
  </si>
  <si>
    <t xml:space="preserve">Staff A</t>
  </si>
  <si>
    <t xml:space="preserve">Aerolíneas Argentinas (AR1670 / AR1675)</t>
  </si>
  <si>
    <t xml:space="preserve">Ida / Regreso</t>
  </si>
  <si>
    <t xml:space="preserve">04/04 – 08/04</t>
  </si>
  <si>
    <t xml:space="preserve">09:20–11:45 / 15:25–17:30</t>
  </si>
  <si>
    <t xml:space="preserve">n/a</t>
  </si>
  <si>
    <t xml:space="preserve">Staff B</t>
  </si>
  <si>
    <t xml:space="preserve">Aerolíneas Argentinas (AR1672 / AR1675)</t>
  </si>
  <si>
    <t xml:space="preserve">05/04 – 08/04</t>
  </si>
  <si>
    <t xml:space="preserve">11:10–13:35 / 15:25–17:30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</si>
</sst>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0.0"/>
    <numFmt numFmtId="168" formatCode="0.0%"/>
    <numFmt numFmtId="169" formatCode="\+0.0%;\-0.0%;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1E5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1E5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1E50"/>
        <bgColor rgb="FF000080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E7E6E6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01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1E5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3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COUNTIF(Comparativo!E$5:E$40,$A5)</f>
        <v>1</v>
      </c>
      <c r="C5" s="6" t="n">
        <f aca="false">COUNTIF(Comparativo!G$5:G$40,$A5)</f>
        <v>7</v>
      </c>
      <c r="D5" s="6" t="n">
        <f aca="false">COUNTIF(Comparativo!I$5:I$40,$A5)</f>
        <v>3</v>
      </c>
    </row>
    <row r="6" customFormat="false" ht="15" hidden="false" customHeight="true" outlineLevel="0" collapsed="false">
      <c r="A6" s="7" t="s">
        <v>7</v>
      </c>
      <c r="B6" s="6" t="n">
        <f aca="false">COUNTIF(Comparativo!E$5:E$40,$A6)</f>
        <v>6</v>
      </c>
      <c r="C6" s="6" t="n">
        <f aca="false">COUNTIF(Comparativo!G$5:G$40,$A6)</f>
        <v>14</v>
      </c>
      <c r="D6" s="6" t="n">
        <f aca="false">COUNTIF(Comparativo!I$5:I$40,$A6)</f>
        <v>4</v>
      </c>
    </row>
    <row r="7" customFormat="false" ht="15" hidden="false" customHeight="true" outlineLevel="0" collapsed="false">
      <c r="A7" s="8" t="s">
        <v>8</v>
      </c>
      <c r="B7" s="6" t="n">
        <f aca="false">COUNTIF(Comparativo!E$5:E$40,$A7)</f>
        <v>20</v>
      </c>
      <c r="C7" s="6" t="n">
        <f aca="false">COUNTIF(Comparativo!G$5:G$40,$A7)</f>
        <v>9</v>
      </c>
      <c r="D7" s="6" t="n">
        <f aca="false">COUNTIF(Comparativo!I$5:I$40,$A7)</f>
        <v>15</v>
      </c>
    </row>
    <row r="8" customFormat="false" ht="15" hidden="false" customHeight="true" outlineLevel="0" collapsed="false">
      <c r="A8" s="9" t="s">
        <v>9</v>
      </c>
      <c r="B8" s="6" t="n">
        <f aca="false">COUNTIF(Comparativo!E$5:E$40,$A8)</f>
        <v>9</v>
      </c>
      <c r="C8" s="6" t="n">
        <f aca="false">COUNTIF(Comparativo!G$5:G$40,$A8)</f>
        <v>6</v>
      </c>
      <c r="D8" s="6" t="n">
        <f aca="false">COUNTIF(Comparativo!I$5:I$40,$A8)</f>
        <v>14</v>
      </c>
    </row>
    <row r="9" customFormat="false" ht="15" hidden="false" customHeight="true" outlineLevel="0" collapsed="false">
      <c r="A9" s="10" t="s">
        <v>10</v>
      </c>
      <c r="B9" s="11" t="n">
        <f aca="false">SUM(B5:B8)</f>
        <v>36</v>
      </c>
      <c r="C9" s="11" t="n">
        <f aca="false">SUM(C5:C8)</f>
        <v>36</v>
      </c>
      <c r="D9" s="11" t="n">
        <f aca="false">SUM(D5:D8)</f>
        <v>36</v>
      </c>
    </row>
    <row r="10" customFormat="false" ht="15" hidden="false" customHeight="true" outlineLevel="0" collapsed="false">
      <c r="A10" s="10" t="s">
        <v>11</v>
      </c>
      <c r="B10" s="12" t="n">
        <f aca="false">B5+0.5*B6</f>
        <v>4</v>
      </c>
      <c r="C10" s="12" t="n">
        <f aca="false">C5+0.5*C6</f>
        <v>14</v>
      </c>
      <c r="D10" s="12" t="n">
        <f aca="false">D5+0.5*D6</f>
        <v>5</v>
      </c>
    </row>
    <row r="11" customFormat="false" ht="15" hidden="false" customHeight="true" outlineLevel="0" collapsed="false">
      <c r="A11" s="10" t="s">
        <v>12</v>
      </c>
      <c r="B11" s="13" t="n">
        <f aca="false">IF(B9=0,0,B10/B9)</f>
        <v>0.111111111111111</v>
      </c>
      <c r="C11" s="13" t="n">
        <f aca="false">IF(C9=0,0,C10/C9)</f>
        <v>0.388888888888889</v>
      </c>
      <c r="D11" s="13" t="n">
        <f aca="false">IF(D9=0,0,D10/D9)</f>
        <v>0.138888888888889</v>
      </c>
    </row>
    <row r="13" customFormat="false" ht="15" hidden="false" customHeight="true" outlineLevel="0" collapsed="false">
      <c r="A13" s="10" t="s">
        <v>13</v>
      </c>
      <c r="B13" s="14" t="n">
        <f aca="false">RANK(B10,$B$10:$D$10)</f>
        <v>3</v>
      </c>
      <c r="C13" s="14" t="n">
        <f aca="false">RANK(C10,$B$10:$D$10)</f>
        <v>1</v>
      </c>
      <c r="D13" s="14" t="n">
        <f aca="false">RANK(D10,$B$10:$D$10)</f>
        <v>2</v>
      </c>
    </row>
    <row r="15" customFormat="false" ht="15" hidden="false" customHeight="true" outlineLevel="0" collapsed="false">
      <c r="A15" s="15" t="s">
        <v>14</v>
      </c>
    </row>
    <row r="16" customFormat="false" ht="57.75" hidden="false" customHeight="true" outlineLevel="0" collapsed="false">
      <c r="A16" s="16" t="s">
        <v>3</v>
      </c>
      <c r="B16" s="17" t="s">
        <v>15</v>
      </c>
      <c r="C16" s="17"/>
      <c r="D16" s="17"/>
    </row>
    <row r="17" customFormat="false" ht="57.75" hidden="false" customHeight="true" outlineLevel="0" collapsed="false">
      <c r="A17" s="16" t="s">
        <v>4</v>
      </c>
      <c r="B17" s="17" t="s">
        <v>16</v>
      </c>
      <c r="C17" s="17"/>
      <c r="D17" s="17"/>
    </row>
    <row r="18" customFormat="false" ht="57.75" hidden="false" customHeight="true" outlineLevel="0" collapsed="false">
      <c r="A18" s="16" t="s">
        <v>5</v>
      </c>
      <c r="B18" s="17" t="s">
        <v>17</v>
      </c>
      <c r="C18" s="17"/>
      <c r="D18" s="17"/>
    </row>
    <row r="19" customFormat="false" ht="57.75" hidden="false" customHeight="true" outlineLevel="0" collapsed="false">
      <c r="A19" s="16" t="s">
        <v>18</v>
      </c>
      <c r="B19" s="17" t="s">
        <v>19</v>
      </c>
      <c r="C19" s="17"/>
      <c r="D19" s="17"/>
    </row>
    <row r="20" customFormat="false" ht="57.75" hidden="false" customHeight="true" outlineLevel="0" collapsed="false">
      <c r="A20" s="16" t="s">
        <v>20</v>
      </c>
      <c r="B20" s="17" t="s">
        <v>21</v>
      </c>
      <c r="C20" s="17"/>
      <c r="D20" s="17"/>
    </row>
    <row r="23" customFormat="false" ht="15" hidden="false" customHeight="false" outlineLevel="0" collapsed="false">
      <c r="A23" s="18" t="s">
        <v>22</v>
      </c>
    </row>
    <row r="24" customFormat="false" ht="15" hidden="false" customHeight="false" outlineLevel="0" collapsed="false">
      <c r="A24" s="4" t="s">
        <v>2</v>
      </c>
      <c r="B24" s="4" t="s">
        <v>3</v>
      </c>
      <c r="C24" s="4" t="s">
        <v>4</v>
      </c>
      <c r="D24" s="4" t="s">
        <v>5</v>
      </c>
    </row>
    <row r="25" customFormat="false" ht="15" hidden="false" customHeight="false" outlineLevel="0" collapsed="false">
      <c r="A25" s="19" t="s">
        <v>6</v>
      </c>
      <c r="B25" s="6" t="n">
        <f aca="false">COUNTIF('Tras aclaraciones'!F$5:F$40,$A25)</f>
        <v>21</v>
      </c>
      <c r="C25" s="6" t="n">
        <f aca="false">COUNTIF('Tras aclaraciones'!I$5:I$40,$A25)</f>
        <v>17</v>
      </c>
      <c r="D25" s="6" t="n">
        <f aca="false">COUNTIF('Tras aclaraciones'!L$5:L$40,$A25)</f>
        <v>18</v>
      </c>
    </row>
    <row r="26" customFormat="false" ht="15" hidden="false" customHeight="false" outlineLevel="0" collapsed="false">
      <c r="A26" s="20" t="s">
        <v>7</v>
      </c>
      <c r="B26" s="6" t="n">
        <f aca="false">COUNTIF('Tras aclaraciones'!F$5:F$40,$A26)</f>
        <v>9</v>
      </c>
      <c r="C26" s="6" t="n">
        <f aca="false">COUNTIF('Tras aclaraciones'!I$5:I$40,$A26)</f>
        <v>16</v>
      </c>
      <c r="D26" s="6" t="n">
        <f aca="false">COUNTIF('Tras aclaraciones'!L$5:L$40,$A26)</f>
        <v>11</v>
      </c>
    </row>
    <row r="27" customFormat="false" ht="15" hidden="false" customHeight="false" outlineLevel="0" collapsed="false">
      <c r="A27" s="21" t="s">
        <v>8</v>
      </c>
      <c r="B27" s="6" t="n">
        <f aca="false">COUNTIF('Tras aclaraciones'!F$5:F$40,$A27)</f>
        <v>5</v>
      </c>
      <c r="C27" s="6" t="n">
        <f aca="false">COUNTIF('Tras aclaraciones'!I$5:I$40,$A27)</f>
        <v>3</v>
      </c>
      <c r="D27" s="6" t="n">
        <f aca="false">COUNTIF('Tras aclaraciones'!L$5:L$40,$A27)</f>
        <v>7</v>
      </c>
    </row>
    <row r="28" customFormat="false" ht="15" hidden="false" customHeight="false" outlineLevel="0" collapsed="false">
      <c r="A28" s="22" t="s">
        <v>9</v>
      </c>
      <c r="B28" s="6" t="n">
        <f aca="false">COUNTIF('Tras aclaraciones'!F$5:F$40,$A28)</f>
        <v>1</v>
      </c>
      <c r="C28" s="6" t="n">
        <f aca="false">COUNTIF('Tras aclaraciones'!I$5:I$40,$A28)</f>
        <v>0</v>
      </c>
      <c r="D28" s="6" t="n">
        <f aca="false">COUNTIF('Tras aclaraciones'!L$5:L$40,$A28)</f>
        <v>0</v>
      </c>
    </row>
    <row r="29" customFormat="false" ht="15" hidden="false" customHeight="false" outlineLevel="0" collapsed="false">
      <c r="A29" s="23" t="s">
        <v>10</v>
      </c>
      <c r="B29" s="11" t="n">
        <f aca="false">SUM(B25:B28)</f>
        <v>36</v>
      </c>
      <c r="C29" s="11" t="n">
        <f aca="false">SUM(C25:C28)</f>
        <v>36</v>
      </c>
      <c r="D29" s="11" t="n">
        <f aca="false">SUM(D25:D28)</f>
        <v>36</v>
      </c>
    </row>
    <row r="30" customFormat="false" ht="15" hidden="false" customHeight="false" outlineLevel="0" collapsed="false">
      <c r="A30" s="23" t="s">
        <v>11</v>
      </c>
      <c r="B30" s="12" t="n">
        <f aca="false">B25+0.5*B26</f>
        <v>25.5</v>
      </c>
      <c r="C30" s="12" t="n">
        <f aca="false">C25+0.5*C26</f>
        <v>25</v>
      </c>
      <c r="D30" s="12" t="n">
        <f aca="false">D25+0.5*D26</f>
        <v>23.5</v>
      </c>
    </row>
    <row r="31" customFormat="false" ht="15" hidden="false" customHeight="false" outlineLevel="0" collapsed="false">
      <c r="A31" s="23" t="s">
        <v>12</v>
      </c>
      <c r="B31" s="13" t="n">
        <f aca="false">IF(B29=0,0,B30/B29)</f>
        <v>0.708333333333333</v>
      </c>
      <c r="C31" s="13" t="n">
        <f aca="false">IF(C29=0,0,C30/C29)</f>
        <v>0.694444444444444</v>
      </c>
      <c r="D31" s="13" t="n">
        <f aca="false">IF(D29=0,0,D30/D29)</f>
        <v>0.652777777777778</v>
      </c>
    </row>
    <row r="32" customFormat="false" ht="15" hidden="false" customHeight="false" outlineLevel="0" collapsed="false">
      <c r="A32" s="23" t="s">
        <v>23</v>
      </c>
      <c r="B32" s="24" t="n">
        <f aca="false">B31-B11</f>
        <v>0.597222222222222</v>
      </c>
      <c r="C32" s="24" t="n">
        <f aca="false">C31-C11</f>
        <v>0.305555555555556</v>
      </c>
      <c r="D32" s="24" t="n">
        <f aca="false">D31-D11</f>
        <v>0.513888888888889</v>
      </c>
    </row>
    <row r="33" customFormat="false" ht="15" hidden="false" customHeight="false" outlineLevel="0" collapsed="false">
      <c r="A33" s="23" t="s">
        <v>13</v>
      </c>
      <c r="B33" s="11" t="n">
        <f aca="false">RANK(B30,$B$30:$D$30)</f>
        <v>1</v>
      </c>
      <c r="C33" s="11" t="n">
        <f aca="false">RANK(C30,$B$30:$D$30)</f>
        <v>2</v>
      </c>
      <c r="D33" s="11" t="n">
        <f aca="false">RANK(D30,$B$30:$D$30)</f>
        <v>3</v>
      </c>
    </row>
    <row r="35" customFormat="false" ht="57.75" hidden="false" customHeight="true" outlineLevel="0" collapsed="false">
      <c r="A35" s="25" t="s">
        <v>24</v>
      </c>
      <c r="B35" s="17" t="s">
        <v>25</v>
      </c>
      <c r="C35" s="17"/>
      <c r="D35" s="17"/>
    </row>
    <row r="36" customFormat="false" ht="57.75" hidden="false" customHeight="true" outlineLevel="0" collapsed="false">
      <c r="A36" s="25" t="s">
        <v>26</v>
      </c>
      <c r="B36" s="17" t="s">
        <v>27</v>
      </c>
      <c r="C36" s="17"/>
      <c r="D36" s="17"/>
    </row>
  </sheetData>
  <mergeCells count="7">
    <mergeCell ref="B16:D16"/>
    <mergeCell ref="B17:D17"/>
    <mergeCell ref="B18:D18"/>
    <mergeCell ref="B19:D19"/>
    <mergeCell ref="B20:D20"/>
    <mergeCell ref="B35:D35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4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4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26" t="s">
        <v>28</v>
      </c>
    </row>
    <row r="2" customFormat="false" ht="15" hidden="false" customHeight="false" outlineLevel="0" collapsed="false">
      <c r="A2" s="27" t="s">
        <v>29</v>
      </c>
    </row>
    <row r="4" customFormat="false" ht="39.55" hidden="false" customHeight="false" outlineLevel="0" collapsed="false">
      <c r="A4" s="28" t="s">
        <v>30</v>
      </c>
      <c r="B4" s="28" t="s">
        <v>31</v>
      </c>
      <c r="C4" s="28" t="s">
        <v>32</v>
      </c>
      <c r="D4" s="28" t="s">
        <v>33</v>
      </c>
      <c r="E4" s="28" t="s">
        <v>34</v>
      </c>
      <c r="F4" s="28" t="s">
        <v>35</v>
      </c>
      <c r="G4" s="28" t="s">
        <v>36</v>
      </c>
      <c r="H4" s="28" t="s">
        <v>37</v>
      </c>
      <c r="I4" s="28" t="s">
        <v>38</v>
      </c>
      <c r="J4" s="28" t="s">
        <v>39</v>
      </c>
      <c r="K4" s="28" t="s">
        <v>40</v>
      </c>
      <c r="L4" s="28" t="s">
        <v>41</v>
      </c>
      <c r="M4" s="28" t="s">
        <v>42</v>
      </c>
    </row>
    <row r="5" customFormat="false" ht="46.25" hidden="false" customHeight="false" outlineLevel="0" collapsed="false">
      <c r="A5" s="29" t="n">
        <v>1</v>
      </c>
      <c r="B5" s="30" t="s">
        <v>43</v>
      </c>
      <c r="C5" s="30" t="s">
        <v>44</v>
      </c>
      <c r="D5" s="31" t="s">
        <v>45</v>
      </c>
      <c r="E5" s="32" t="str">
        <f aca="false">Comparativo!E5</f>
        <v>No cumple</v>
      </c>
      <c r="F5" s="33" t="s">
        <v>8</v>
      </c>
      <c r="G5" s="30" t="s">
        <v>46</v>
      </c>
      <c r="H5" s="32" t="str">
        <f aca="false">Comparativo!G5</f>
        <v>Parcial</v>
      </c>
      <c r="I5" s="33" t="s">
        <v>6</v>
      </c>
      <c r="J5" s="30" t="s">
        <v>47</v>
      </c>
      <c r="K5" s="32" t="str">
        <f aca="false">Comparativo!I5</f>
        <v>Cumple</v>
      </c>
      <c r="L5" s="33" t="s">
        <v>6</v>
      </c>
      <c r="M5" s="30" t="s">
        <v>48</v>
      </c>
    </row>
    <row r="6" customFormat="false" ht="23.85" hidden="false" customHeight="false" outlineLevel="0" collapsed="false">
      <c r="A6" s="29" t="n">
        <v>2</v>
      </c>
      <c r="B6" s="30" t="s">
        <v>43</v>
      </c>
      <c r="C6" s="30" t="s">
        <v>49</v>
      </c>
      <c r="D6" s="31" t="s">
        <v>50</v>
      </c>
      <c r="E6" s="32" t="str">
        <f aca="false">Comparativo!E6</f>
        <v>Cumple</v>
      </c>
      <c r="F6" s="33" t="s">
        <v>7</v>
      </c>
      <c r="G6" s="30" t="s">
        <v>51</v>
      </c>
      <c r="H6" s="32" t="str">
        <f aca="false">Comparativo!G6</f>
        <v>Parcial</v>
      </c>
      <c r="I6" s="33" t="s">
        <v>7</v>
      </c>
      <c r="J6" s="30" t="s">
        <v>52</v>
      </c>
      <c r="K6" s="32" t="str">
        <f aca="false">Comparativo!I6</f>
        <v>No informa</v>
      </c>
      <c r="L6" s="33" t="s">
        <v>6</v>
      </c>
      <c r="M6" s="30" t="s">
        <v>53</v>
      </c>
    </row>
    <row r="7" customFormat="false" ht="23.85" hidden="false" customHeight="false" outlineLevel="0" collapsed="false">
      <c r="A7" s="29" t="n">
        <v>3</v>
      </c>
      <c r="B7" s="30" t="s">
        <v>43</v>
      </c>
      <c r="C7" s="30" t="s">
        <v>54</v>
      </c>
      <c r="D7" s="31" t="s">
        <v>55</v>
      </c>
      <c r="E7" s="32" t="str">
        <f aca="false">Comparativo!E7</f>
        <v>Parcial</v>
      </c>
      <c r="F7" s="33" t="s">
        <v>7</v>
      </c>
      <c r="G7" s="30" t="s">
        <v>56</v>
      </c>
      <c r="H7" s="32" t="str">
        <f aca="false">Comparativo!G7</f>
        <v>Parcial</v>
      </c>
      <c r="I7" s="33" t="s">
        <v>7</v>
      </c>
      <c r="J7" s="30" t="s">
        <v>57</v>
      </c>
      <c r="K7" s="32" t="str">
        <f aca="false">Comparativo!I7</f>
        <v>Parcial</v>
      </c>
      <c r="L7" s="33" t="s">
        <v>7</v>
      </c>
      <c r="M7" s="30" t="s">
        <v>58</v>
      </c>
    </row>
    <row r="8" customFormat="false" ht="23.85" hidden="false" customHeight="false" outlineLevel="0" collapsed="false">
      <c r="A8" s="29" t="n">
        <v>4</v>
      </c>
      <c r="B8" s="30" t="s">
        <v>43</v>
      </c>
      <c r="C8" s="30" t="s">
        <v>59</v>
      </c>
      <c r="D8" s="31" t="s">
        <v>60</v>
      </c>
      <c r="E8" s="32" t="str">
        <f aca="false">Comparativo!E8</f>
        <v>No informa</v>
      </c>
      <c r="F8" s="33" t="s">
        <v>7</v>
      </c>
      <c r="G8" s="30" t="s">
        <v>61</v>
      </c>
      <c r="H8" s="32" t="str">
        <f aca="false">Comparativo!G8</f>
        <v>No informa</v>
      </c>
      <c r="I8" s="33" t="s">
        <v>6</v>
      </c>
      <c r="J8" s="30" t="s">
        <v>62</v>
      </c>
      <c r="K8" s="32" t="str">
        <f aca="false">Comparativo!I8</f>
        <v>Parcial</v>
      </c>
      <c r="L8" s="33" t="s">
        <v>7</v>
      </c>
      <c r="M8" s="30" t="s">
        <v>63</v>
      </c>
    </row>
    <row r="9" customFormat="false" ht="23.85" hidden="false" customHeight="false" outlineLevel="0" collapsed="false">
      <c r="A9" s="29" t="n">
        <v>5</v>
      </c>
      <c r="B9" s="30" t="s">
        <v>43</v>
      </c>
      <c r="C9" s="30" t="s">
        <v>54</v>
      </c>
      <c r="D9" s="31" t="s">
        <v>64</v>
      </c>
      <c r="E9" s="32" t="str">
        <f aca="false">Comparativo!E9</f>
        <v>No informa</v>
      </c>
      <c r="F9" s="33" t="s">
        <v>7</v>
      </c>
      <c r="G9" s="30" t="s">
        <v>65</v>
      </c>
      <c r="H9" s="32" t="str">
        <f aca="false">Comparativo!G9</f>
        <v>Parcial</v>
      </c>
      <c r="I9" s="33" t="s">
        <v>7</v>
      </c>
      <c r="J9" s="30" t="s">
        <v>66</v>
      </c>
      <c r="K9" s="32" t="str">
        <f aca="false">Comparativo!I9</f>
        <v>No informa</v>
      </c>
      <c r="L9" s="33" t="s">
        <v>7</v>
      </c>
      <c r="M9" s="30" t="s">
        <v>67</v>
      </c>
    </row>
    <row r="10" customFormat="false" ht="23.85" hidden="false" customHeight="false" outlineLevel="0" collapsed="false">
      <c r="A10" s="29" t="n">
        <v>6</v>
      </c>
      <c r="B10" s="30" t="s">
        <v>43</v>
      </c>
      <c r="C10" s="30" t="s">
        <v>54</v>
      </c>
      <c r="D10" s="31" t="s">
        <v>68</v>
      </c>
      <c r="E10" s="32" t="str">
        <f aca="false">Comparativo!E10</f>
        <v>Parcial</v>
      </c>
      <c r="F10" s="33" t="s">
        <v>6</v>
      </c>
      <c r="G10" s="30" t="s">
        <v>69</v>
      </c>
      <c r="H10" s="32" t="str">
        <f aca="false">Comparativo!G10</f>
        <v>Cumple</v>
      </c>
      <c r="I10" s="33" t="s">
        <v>6</v>
      </c>
      <c r="J10" s="30" t="s">
        <v>70</v>
      </c>
      <c r="K10" s="32" t="str">
        <f aca="false">Comparativo!I10</f>
        <v>No informa</v>
      </c>
      <c r="L10" s="33" t="s">
        <v>6</v>
      </c>
      <c r="M10" s="30" t="s">
        <v>71</v>
      </c>
    </row>
    <row r="11" customFormat="false" ht="23.85" hidden="false" customHeight="false" outlineLevel="0" collapsed="false">
      <c r="A11" s="29" t="n">
        <v>7</v>
      </c>
      <c r="B11" s="30" t="s">
        <v>43</v>
      </c>
      <c r="C11" s="30" t="s">
        <v>54</v>
      </c>
      <c r="D11" s="31" t="s">
        <v>72</v>
      </c>
      <c r="E11" s="32" t="str">
        <f aca="false">Comparativo!E11</f>
        <v>No informa</v>
      </c>
      <c r="F11" s="33" t="s">
        <v>6</v>
      </c>
      <c r="G11" s="30" t="s">
        <v>73</v>
      </c>
      <c r="H11" s="32" t="str">
        <f aca="false">Comparativo!G11</f>
        <v>Parcial</v>
      </c>
      <c r="I11" s="33" t="s">
        <v>6</v>
      </c>
      <c r="J11" s="30" t="s">
        <v>74</v>
      </c>
      <c r="K11" s="32" t="str">
        <f aca="false">Comparativo!I11</f>
        <v>No informa</v>
      </c>
      <c r="L11" s="33" t="s">
        <v>6</v>
      </c>
      <c r="M11" s="30" t="s">
        <v>75</v>
      </c>
    </row>
    <row r="12" customFormat="false" ht="23.85" hidden="false" customHeight="false" outlineLevel="0" collapsed="false">
      <c r="A12" s="29" t="n">
        <v>8</v>
      </c>
      <c r="B12" s="30" t="s">
        <v>43</v>
      </c>
      <c r="C12" s="30" t="s">
        <v>54</v>
      </c>
      <c r="D12" s="31" t="s">
        <v>76</v>
      </c>
      <c r="E12" s="32" t="str">
        <f aca="false">Comparativo!E12</f>
        <v>Parcial</v>
      </c>
      <c r="F12" s="33" t="s">
        <v>6</v>
      </c>
      <c r="G12" s="30" t="s">
        <v>77</v>
      </c>
      <c r="H12" s="32" t="str">
        <f aca="false">Comparativo!G12</f>
        <v>No informa</v>
      </c>
      <c r="I12" s="33" t="s">
        <v>6</v>
      </c>
      <c r="J12" s="30" t="s">
        <v>78</v>
      </c>
      <c r="K12" s="32" t="str">
        <f aca="false">Comparativo!I12</f>
        <v>No informa</v>
      </c>
      <c r="L12" s="33" t="s">
        <v>6</v>
      </c>
      <c r="M12" s="30" t="s">
        <v>79</v>
      </c>
    </row>
    <row r="13" customFormat="false" ht="35.05" hidden="false" customHeight="false" outlineLevel="0" collapsed="false">
      <c r="A13" s="29" t="n">
        <v>9</v>
      </c>
      <c r="B13" s="30" t="s">
        <v>80</v>
      </c>
      <c r="C13" s="30" t="s">
        <v>81</v>
      </c>
      <c r="D13" s="31" t="s">
        <v>82</v>
      </c>
      <c r="E13" s="32" t="str">
        <f aca="false">Comparativo!E13</f>
        <v>No cumple</v>
      </c>
      <c r="F13" s="33" t="s">
        <v>6</v>
      </c>
      <c r="G13" s="30" t="s">
        <v>83</v>
      </c>
      <c r="H13" s="32" t="str">
        <f aca="false">Comparativo!G13</f>
        <v>Cumple</v>
      </c>
      <c r="I13" s="33" t="s">
        <v>6</v>
      </c>
      <c r="J13" s="30" t="s">
        <v>84</v>
      </c>
      <c r="K13" s="32" t="str">
        <f aca="false">Comparativo!I13</f>
        <v>No informa</v>
      </c>
      <c r="L13" s="33" t="s">
        <v>6</v>
      </c>
      <c r="M13" s="30" t="s">
        <v>85</v>
      </c>
    </row>
    <row r="14" customFormat="false" ht="23.85" hidden="false" customHeight="false" outlineLevel="0" collapsed="false">
      <c r="A14" s="29" t="n">
        <v>10</v>
      </c>
      <c r="B14" s="30" t="s">
        <v>86</v>
      </c>
      <c r="C14" s="30" t="s">
        <v>87</v>
      </c>
      <c r="D14" s="31" t="s">
        <v>88</v>
      </c>
      <c r="E14" s="32" t="str">
        <f aca="false">Comparativo!E14</f>
        <v>No informa</v>
      </c>
      <c r="F14" s="33" t="s">
        <v>6</v>
      </c>
      <c r="G14" s="30" t="s">
        <v>89</v>
      </c>
      <c r="H14" s="32" t="str">
        <f aca="false">Comparativo!G14</f>
        <v>Cumple</v>
      </c>
      <c r="I14" s="33" t="s">
        <v>6</v>
      </c>
      <c r="J14" s="30" t="s">
        <v>84</v>
      </c>
      <c r="K14" s="32" t="str">
        <f aca="false">Comparativo!I14</f>
        <v>No informa</v>
      </c>
      <c r="L14" s="33" t="s">
        <v>6</v>
      </c>
      <c r="M14" s="30" t="s">
        <v>84</v>
      </c>
    </row>
    <row r="15" customFormat="false" ht="23.85" hidden="false" customHeight="false" outlineLevel="0" collapsed="false">
      <c r="A15" s="29" t="n">
        <v>11</v>
      </c>
      <c r="B15" s="30" t="s">
        <v>86</v>
      </c>
      <c r="C15" s="30" t="s">
        <v>87</v>
      </c>
      <c r="D15" s="31" t="s">
        <v>90</v>
      </c>
      <c r="E15" s="32" t="str">
        <f aca="false">Comparativo!E15</f>
        <v>No informa</v>
      </c>
      <c r="F15" s="33" t="s">
        <v>6</v>
      </c>
      <c r="G15" s="30" t="s">
        <v>89</v>
      </c>
      <c r="H15" s="32" t="str">
        <f aca="false">Comparativo!G15</f>
        <v>Parcial</v>
      </c>
      <c r="I15" s="33" t="s">
        <v>6</v>
      </c>
      <c r="J15" s="30" t="s">
        <v>91</v>
      </c>
      <c r="K15" s="32" t="str">
        <f aca="false">Comparativo!I15</f>
        <v>No informa</v>
      </c>
      <c r="L15" s="33" t="s">
        <v>6</v>
      </c>
      <c r="M15" s="30" t="s">
        <v>84</v>
      </c>
    </row>
    <row r="16" customFormat="false" ht="23.85" hidden="false" customHeight="false" outlineLevel="0" collapsed="false">
      <c r="A16" s="29" t="n">
        <v>12</v>
      </c>
      <c r="B16" s="30" t="s">
        <v>86</v>
      </c>
      <c r="C16" s="30" t="s">
        <v>87</v>
      </c>
      <c r="D16" s="31" t="s">
        <v>92</v>
      </c>
      <c r="E16" s="32" t="str">
        <f aca="false">Comparativo!E16</f>
        <v>No informa</v>
      </c>
      <c r="F16" s="33" t="s">
        <v>6</v>
      </c>
      <c r="G16" s="30" t="s">
        <v>89</v>
      </c>
      <c r="H16" s="32" t="str">
        <f aca="false">Comparativo!G16</f>
        <v>Parcial</v>
      </c>
      <c r="I16" s="33" t="s">
        <v>6</v>
      </c>
      <c r="J16" s="30" t="s">
        <v>84</v>
      </c>
      <c r="K16" s="32" t="str">
        <f aca="false">Comparativo!I16</f>
        <v>No informa</v>
      </c>
      <c r="L16" s="33" t="s">
        <v>6</v>
      </c>
      <c r="M16" s="30" t="s">
        <v>84</v>
      </c>
    </row>
    <row r="17" customFormat="false" ht="35.05" hidden="false" customHeight="false" outlineLevel="0" collapsed="false">
      <c r="A17" s="29" t="n">
        <v>13</v>
      </c>
      <c r="B17" s="30" t="s">
        <v>93</v>
      </c>
      <c r="C17" s="30" t="s">
        <v>94</v>
      </c>
      <c r="D17" s="31" t="s">
        <v>95</v>
      </c>
      <c r="E17" s="32" t="str">
        <f aca="false">Comparativo!E17</f>
        <v>Parcial</v>
      </c>
      <c r="F17" s="33" t="s">
        <v>8</v>
      </c>
      <c r="G17" s="30" t="s">
        <v>96</v>
      </c>
      <c r="H17" s="32" t="str">
        <f aca="false">Comparativo!G17</f>
        <v>Parcial</v>
      </c>
      <c r="I17" s="33" t="s">
        <v>7</v>
      </c>
      <c r="J17" s="30" t="s">
        <v>97</v>
      </c>
      <c r="K17" s="32" t="str">
        <f aca="false">Comparativo!I17</f>
        <v>No informa</v>
      </c>
      <c r="L17" s="33" t="s">
        <v>6</v>
      </c>
      <c r="M17" s="30" t="s">
        <v>98</v>
      </c>
    </row>
    <row r="18" customFormat="false" ht="23.85" hidden="false" customHeight="false" outlineLevel="0" collapsed="false">
      <c r="A18" s="29" t="n">
        <v>14</v>
      </c>
      <c r="B18" s="30" t="s">
        <v>93</v>
      </c>
      <c r="C18" s="30" t="s">
        <v>94</v>
      </c>
      <c r="D18" s="31" t="s">
        <v>99</v>
      </c>
      <c r="E18" s="32" t="str">
        <f aca="false">Comparativo!E18</f>
        <v>No informa</v>
      </c>
      <c r="F18" s="33" t="s">
        <v>9</v>
      </c>
      <c r="G18" s="30" t="s">
        <v>100</v>
      </c>
      <c r="H18" s="32" t="str">
        <f aca="false">Comparativo!G18</f>
        <v>No informa</v>
      </c>
      <c r="I18" s="33" t="s">
        <v>7</v>
      </c>
      <c r="J18" s="30" t="s">
        <v>101</v>
      </c>
      <c r="K18" s="32" t="str">
        <f aca="false">Comparativo!I18</f>
        <v>No informa</v>
      </c>
      <c r="L18" s="33" t="s">
        <v>6</v>
      </c>
      <c r="M18" s="30" t="s">
        <v>102</v>
      </c>
    </row>
    <row r="19" customFormat="false" ht="23.85" hidden="false" customHeight="false" outlineLevel="0" collapsed="false">
      <c r="A19" s="29" t="n">
        <v>15</v>
      </c>
      <c r="B19" s="30" t="s">
        <v>103</v>
      </c>
      <c r="C19" s="30" t="s">
        <v>104</v>
      </c>
      <c r="D19" s="31" t="s">
        <v>105</v>
      </c>
      <c r="E19" s="32" t="str">
        <f aca="false">Comparativo!E19</f>
        <v>No cumple</v>
      </c>
      <c r="F19" s="33" t="s">
        <v>6</v>
      </c>
      <c r="G19" s="30" t="s">
        <v>106</v>
      </c>
      <c r="H19" s="32" t="str">
        <f aca="false">Comparativo!G19</f>
        <v>Parcial</v>
      </c>
      <c r="I19" s="33" t="s">
        <v>6</v>
      </c>
      <c r="J19" s="30" t="s">
        <v>107</v>
      </c>
      <c r="K19" s="32" t="str">
        <f aca="false">Comparativo!I19</f>
        <v>Cumple</v>
      </c>
      <c r="L19" s="33" t="s">
        <v>7</v>
      </c>
      <c r="M19" s="30" t="s">
        <v>108</v>
      </c>
    </row>
    <row r="20" customFormat="false" ht="23.85" hidden="false" customHeight="false" outlineLevel="0" collapsed="false">
      <c r="A20" s="29" t="n">
        <v>16</v>
      </c>
      <c r="B20" s="30" t="s">
        <v>103</v>
      </c>
      <c r="C20" s="30" t="s">
        <v>104</v>
      </c>
      <c r="D20" s="31" t="s">
        <v>109</v>
      </c>
      <c r="E20" s="32" t="str">
        <f aca="false">Comparativo!E20</f>
        <v>No cumple</v>
      </c>
      <c r="F20" s="33" t="s">
        <v>6</v>
      </c>
      <c r="G20" s="30" t="s">
        <v>110</v>
      </c>
      <c r="H20" s="32" t="str">
        <f aca="false">Comparativo!G20</f>
        <v>Parcial</v>
      </c>
      <c r="I20" s="33" t="s">
        <v>6</v>
      </c>
      <c r="J20" s="30" t="s">
        <v>111</v>
      </c>
      <c r="K20" s="32" t="str">
        <f aca="false">Comparativo!I20</f>
        <v>Cumple</v>
      </c>
      <c r="L20" s="33" t="s">
        <v>7</v>
      </c>
      <c r="M20" s="30" t="s">
        <v>112</v>
      </c>
    </row>
    <row r="21" customFormat="false" ht="35.05" hidden="false" customHeight="false" outlineLevel="0" collapsed="false">
      <c r="A21" s="29" t="n">
        <v>17</v>
      </c>
      <c r="B21" s="30" t="s">
        <v>113</v>
      </c>
      <c r="C21" s="30" t="s">
        <v>114</v>
      </c>
      <c r="D21" s="31" t="s">
        <v>115</v>
      </c>
      <c r="E21" s="32" t="str">
        <f aca="false">Comparativo!E21</f>
        <v>No cumple</v>
      </c>
      <c r="F21" s="33" t="s">
        <v>7</v>
      </c>
      <c r="G21" s="30" t="s">
        <v>116</v>
      </c>
      <c r="H21" s="32" t="str">
        <f aca="false">Comparativo!G21</f>
        <v>Cumple</v>
      </c>
      <c r="I21" s="33" t="s">
        <v>7</v>
      </c>
      <c r="J21" s="30" t="s">
        <v>117</v>
      </c>
      <c r="K21" s="32" t="str">
        <f aca="false">Comparativo!I21</f>
        <v>No informa</v>
      </c>
      <c r="L21" s="33" t="s">
        <v>7</v>
      </c>
      <c r="M21" s="30" t="s">
        <v>118</v>
      </c>
    </row>
    <row r="22" customFormat="false" ht="23.85" hidden="false" customHeight="false" outlineLevel="0" collapsed="false">
      <c r="A22" s="29" t="n">
        <v>18</v>
      </c>
      <c r="B22" s="30" t="s">
        <v>119</v>
      </c>
      <c r="C22" s="30" t="s">
        <v>120</v>
      </c>
      <c r="D22" s="31" t="s">
        <v>121</v>
      </c>
      <c r="E22" s="32" t="str">
        <f aca="false">Comparativo!E22</f>
        <v>No cumple</v>
      </c>
      <c r="F22" s="33" t="s">
        <v>7</v>
      </c>
      <c r="G22" s="30" t="s">
        <v>122</v>
      </c>
      <c r="H22" s="32" t="str">
        <f aca="false">Comparativo!G22</f>
        <v>Cumple</v>
      </c>
      <c r="I22" s="33" t="s">
        <v>7</v>
      </c>
      <c r="J22" s="30" t="s">
        <v>123</v>
      </c>
      <c r="K22" s="32" t="str">
        <f aca="false">Comparativo!I22</f>
        <v>Parcial</v>
      </c>
      <c r="L22" s="33" t="s">
        <v>8</v>
      </c>
      <c r="M22" s="30" t="s">
        <v>124</v>
      </c>
    </row>
    <row r="23" customFormat="false" ht="23.85" hidden="false" customHeight="false" outlineLevel="0" collapsed="false">
      <c r="A23" s="29" t="n">
        <v>19</v>
      </c>
      <c r="B23" s="30" t="s">
        <v>119</v>
      </c>
      <c r="C23" s="30" t="s">
        <v>120</v>
      </c>
      <c r="D23" s="31" t="s">
        <v>125</v>
      </c>
      <c r="E23" s="32" t="str">
        <f aca="false">Comparativo!E23</f>
        <v>No cumple</v>
      </c>
      <c r="F23" s="33" t="s">
        <v>6</v>
      </c>
      <c r="G23" s="30" t="s">
        <v>126</v>
      </c>
      <c r="H23" s="32" t="str">
        <f aca="false">Comparativo!G23</f>
        <v>No informa</v>
      </c>
      <c r="I23" s="33" t="s">
        <v>7</v>
      </c>
      <c r="J23" s="30" t="s">
        <v>127</v>
      </c>
      <c r="K23" s="32" t="str">
        <f aca="false">Comparativo!I23</f>
        <v>No informa</v>
      </c>
      <c r="L23" s="33" t="s">
        <v>8</v>
      </c>
      <c r="M23" s="30" t="s">
        <v>128</v>
      </c>
    </row>
    <row r="24" customFormat="false" ht="35.05" hidden="false" customHeight="false" outlineLevel="0" collapsed="false">
      <c r="A24" s="29" t="n">
        <v>20</v>
      </c>
      <c r="B24" s="30" t="s">
        <v>129</v>
      </c>
      <c r="C24" s="30" t="s">
        <v>120</v>
      </c>
      <c r="D24" s="31" t="s">
        <v>130</v>
      </c>
      <c r="E24" s="32" t="str">
        <f aca="false">Comparativo!E24</f>
        <v>No cumple</v>
      </c>
      <c r="F24" s="33" t="s">
        <v>6</v>
      </c>
      <c r="G24" s="30" t="s">
        <v>131</v>
      </c>
      <c r="H24" s="32" t="str">
        <f aca="false">Comparativo!G24</f>
        <v>Cumple</v>
      </c>
      <c r="I24" s="33" t="s">
        <v>7</v>
      </c>
      <c r="J24" s="30" t="s">
        <v>132</v>
      </c>
      <c r="K24" s="32" t="str">
        <f aca="false">Comparativo!I24</f>
        <v>Parcial</v>
      </c>
      <c r="L24" s="33" t="s">
        <v>6</v>
      </c>
      <c r="M24" s="30" t="s">
        <v>133</v>
      </c>
    </row>
    <row r="25" customFormat="false" ht="23.85" hidden="false" customHeight="false" outlineLevel="0" collapsed="false">
      <c r="A25" s="29" t="n">
        <v>21</v>
      </c>
      <c r="B25" s="30" t="s">
        <v>129</v>
      </c>
      <c r="C25" s="30" t="s">
        <v>120</v>
      </c>
      <c r="D25" s="31" t="s">
        <v>134</v>
      </c>
      <c r="E25" s="32" t="str">
        <f aca="false">Comparativo!E25</f>
        <v>No cumple</v>
      </c>
      <c r="F25" s="33" t="s">
        <v>7</v>
      </c>
      <c r="G25" s="30" t="s">
        <v>135</v>
      </c>
      <c r="H25" s="32" t="str">
        <f aca="false">Comparativo!G25</f>
        <v>Parcial</v>
      </c>
      <c r="I25" s="33" t="s">
        <v>7</v>
      </c>
      <c r="J25" s="30" t="s">
        <v>136</v>
      </c>
      <c r="K25" s="32" t="str">
        <f aca="false">Comparativo!I25</f>
        <v>No cumple</v>
      </c>
      <c r="L25" s="33" t="s">
        <v>7</v>
      </c>
      <c r="M25" s="30" t="s">
        <v>137</v>
      </c>
    </row>
    <row r="26" customFormat="false" ht="23.85" hidden="false" customHeight="false" outlineLevel="0" collapsed="false">
      <c r="A26" s="29" t="n">
        <v>22</v>
      </c>
      <c r="B26" s="30" t="s">
        <v>138</v>
      </c>
      <c r="C26" s="30" t="s">
        <v>139</v>
      </c>
      <c r="D26" s="31" t="s">
        <v>140</v>
      </c>
      <c r="E26" s="32" t="str">
        <f aca="false">Comparativo!E26</f>
        <v>No cumple</v>
      </c>
      <c r="F26" s="33" t="s">
        <v>6</v>
      </c>
      <c r="G26" s="30" t="s">
        <v>141</v>
      </c>
      <c r="H26" s="32" t="str">
        <f aca="false">Comparativo!G26</f>
        <v>Parcial</v>
      </c>
      <c r="I26" s="33" t="s">
        <v>6</v>
      </c>
      <c r="J26" s="30" t="s">
        <v>142</v>
      </c>
      <c r="K26" s="32" t="str">
        <f aca="false">Comparativo!I26</f>
        <v>No cumple</v>
      </c>
      <c r="L26" s="33" t="s">
        <v>6</v>
      </c>
      <c r="M26" s="30" t="s">
        <v>143</v>
      </c>
    </row>
    <row r="27" customFormat="false" ht="23.85" hidden="false" customHeight="false" outlineLevel="0" collapsed="false">
      <c r="A27" s="29" t="n">
        <v>23</v>
      </c>
      <c r="B27" s="30" t="s">
        <v>138</v>
      </c>
      <c r="C27" s="30" t="s">
        <v>139</v>
      </c>
      <c r="D27" s="31" t="s">
        <v>144</v>
      </c>
      <c r="E27" s="32" t="str">
        <f aca="false">Comparativo!E27</f>
        <v>No cumple</v>
      </c>
      <c r="F27" s="33" t="s">
        <v>6</v>
      </c>
      <c r="G27" s="30" t="s">
        <v>145</v>
      </c>
      <c r="H27" s="32" t="str">
        <f aca="false">Comparativo!G27</f>
        <v>Cumple</v>
      </c>
      <c r="I27" s="33" t="s">
        <v>7</v>
      </c>
      <c r="J27" s="30" t="s">
        <v>146</v>
      </c>
      <c r="K27" s="32" t="str">
        <f aca="false">Comparativo!I27</f>
        <v>No cumple</v>
      </c>
      <c r="L27" s="33" t="s">
        <v>7</v>
      </c>
      <c r="M27" s="30" t="s">
        <v>147</v>
      </c>
    </row>
    <row r="28" customFormat="false" ht="23.85" hidden="false" customHeight="false" outlineLevel="0" collapsed="false">
      <c r="A28" s="29" t="n">
        <v>24</v>
      </c>
      <c r="B28" s="30" t="s">
        <v>138</v>
      </c>
      <c r="C28" s="30" t="s">
        <v>139</v>
      </c>
      <c r="D28" s="31" t="s">
        <v>148</v>
      </c>
      <c r="E28" s="32" t="str">
        <f aca="false">Comparativo!E28</f>
        <v>No cumple</v>
      </c>
      <c r="F28" s="33" t="s">
        <v>6</v>
      </c>
      <c r="G28" s="30" t="s">
        <v>149</v>
      </c>
      <c r="H28" s="32" t="str">
        <f aca="false">Comparativo!G28</f>
        <v>No informa</v>
      </c>
      <c r="I28" s="33" t="s">
        <v>6</v>
      </c>
      <c r="J28" s="30" t="s">
        <v>149</v>
      </c>
      <c r="K28" s="32" t="str">
        <f aca="false">Comparativo!I28</f>
        <v>No cumple</v>
      </c>
      <c r="L28" s="33" t="s">
        <v>8</v>
      </c>
      <c r="M28" s="30" t="s">
        <v>150</v>
      </c>
    </row>
    <row r="29" customFormat="false" ht="23.85" hidden="false" customHeight="false" outlineLevel="0" collapsed="false">
      <c r="A29" s="29" t="n">
        <v>25</v>
      </c>
      <c r="B29" s="30" t="s">
        <v>151</v>
      </c>
      <c r="C29" s="30" t="s">
        <v>152</v>
      </c>
      <c r="D29" s="31" t="s">
        <v>153</v>
      </c>
      <c r="E29" s="32" t="str">
        <f aca="false">Comparativo!E29</f>
        <v>No cumple</v>
      </c>
      <c r="F29" s="33" t="s">
        <v>6</v>
      </c>
      <c r="G29" s="30" t="s">
        <v>154</v>
      </c>
      <c r="H29" s="32" t="str">
        <f aca="false">Comparativo!G29</f>
        <v>Parcial</v>
      </c>
      <c r="I29" s="33" t="s">
        <v>6</v>
      </c>
      <c r="J29" s="30" t="s">
        <v>155</v>
      </c>
      <c r="K29" s="32" t="str">
        <f aca="false">Comparativo!I29</f>
        <v>No cumple</v>
      </c>
      <c r="L29" s="33" t="s">
        <v>6</v>
      </c>
      <c r="M29" s="30" t="s">
        <v>156</v>
      </c>
    </row>
    <row r="30" customFormat="false" ht="23.85" hidden="false" customHeight="false" outlineLevel="0" collapsed="false">
      <c r="A30" s="29" t="n">
        <v>26</v>
      </c>
      <c r="B30" s="30" t="s">
        <v>157</v>
      </c>
      <c r="C30" s="30" t="s">
        <v>158</v>
      </c>
      <c r="D30" s="31" t="s">
        <v>159</v>
      </c>
      <c r="E30" s="32" t="str">
        <f aca="false">Comparativo!E30</f>
        <v>Parcial</v>
      </c>
      <c r="F30" s="33" t="s">
        <v>7</v>
      </c>
      <c r="G30" s="30" t="s">
        <v>160</v>
      </c>
      <c r="H30" s="32" t="str">
        <f aca="false">Comparativo!G30</f>
        <v>No cumple</v>
      </c>
      <c r="I30" s="33" t="s">
        <v>7</v>
      </c>
      <c r="J30" s="30" t="s">
        <v>161</v>
      </c>
      <c r="K30" s="32" t="str">
        <f aca="false">Comparativo!I30</f>
        <v>No cumple</v>
      </c>
      <c r="L30" s="33" t="s">
        <v>8</v>
      </c>
      <c r="M30" s="30" t="s">
        <v>162</v>
      </c>
    </row>
    <row r="31" customFormat="false" ht="23.85" hidden="false" customHeight="false" outlineLevel="0" collapsed="false">
      <c r="A31" s="29" t="n">
        <v>27</v>
      </c>
      <c r="B31" s="30" t="s">
        <v>157</v>
      </c>
      <c r="C31" s="30" t="s">
        <v>158</v>
      </c>
      <c r="D31" s="31" t="s">
        <v>163</v>
      </c>
      <c r="E31" s="32" t="str">
        <f aca="false">Comparativo!E31</f>
        <v>No informa</v>
      </c>
      <c r="F31" s="33" t="s">
        <v>6</v>
      </c>
      <c r="G31" s="30" t="s">
        <v>164</v>
      </c>
      <c r="H31" s="32" t="str">
        <f aca="false">Comparativo!G31</f>
        <v>No informa</v>
      </c>
      <c r="I31" s="33" t="s">
        <v>8</v>
      </c>
      <c r="J31" s="30" t="s">
        <v>165</v>
      </c>
      <c r="K31" s="32" t="str">
        <f aca="false">Comparativo!I31</f>
        <v>No informa</v>
      </c>
      <c r="L31" s="33" t="s">
        <v>7</v>
      </c>
      <c r="M31" s="30" t="s">
        <v>166</v>
      </c>
    </row>
    <row r="32" customFormat="false" ht="23.85" hidden="false" customHeight="false" outlineLevel="0" collapsed="false">
      <c r="A32" s="29" t="n">
        <v>28</v>
      </c>
      <c r="B32" s="30" t="s">
        <v>157</v>
      </c>
      <c r="C32" s="30" t="s">
        <v>158</v>
      </c>
      <c r="D32" s="31" t="s">
        <v>167</v>
      </c>
      <c r="E32" s="32" t="str">
        <f aca="false">Comparativo!E32</f>
        <v>No cumple</v>
      </c>
      <c r="F32" s="33" t="s">
        <v>6</v>
      </c>
      <c r="G32" s="30" t="s">
        <v>168</v>
      </c>
      <c r="H32" s="32" t="str">
        <f aca="false">Comparativo!G32</f>
        <v>No cumple</v>
      </c>
      <c r="I32" s="33" t="s">
        <v>6</v>
      </c>
      <c r="J32" s="30" t="s">
        <v>169</v>
      </c>
      <c r="K32" s="32" t="str">
        <f aca="false">Comparativo!I32</f>
        <v>No cumple</v>
      </c>
      <c r="L32" s="33" t="s">
        <v>6</v>
      </c>
      <c r="M32" s="30" t="s">
        <v>170</v>
      </c>
    </row>
    <row r="33" customFormat="false" ht="23.85" hidden="false" customHeight="false" outlineLevel="0" collapsed="false">
      <c r="A33" s="29" t="n">
        <v>29</v>
      </c>
      <c r="B33" s="30" t="s">
        <v>157</v>
      </c>
      <c r="C33" s="30" t="s">
        <v>158</v>
      </c>
      <c r="D33" s="31" t="s">
        <v>171</v>
      </c>
      <c r="E33" s="32" t="str">
        <f aca="false">Comparativo!E33</f>
        <v>No cumple</v>
      </c>
      <c r="F33" s="33" t="s">
        <v>6</v>
      </c>
      <c r="G33" s="30" t="s">
        <v>172</v>
      </c>
      <c r="H33" s="32" t="str">
        <f aca="false">Comparativo!G33</f>
        <v>No cumple</v>
      </c>
      <c r="I33" s="33" t="s">
        <v>6</v>
      </c>
      <c r="J33" s="30" t="s">
        <v>173</v>
      </c>
      <c r="K33" s="32" t="str">
        <f aca="false">Comparativo!I33</f>
        <v>No cumple</v>
      </c>
      <c r="L33" s="33" t="s">
        <v>6</v>
      </c>
      <c r="M33" s="30" t="s">
        <v>173</v>
      </c>
    </row>
    <row r="34" customFormat="false" ht="23.85" hidden="false" customHeight="false" outlineLevel="0" collapsed="false">
      <c r="A34" s="29" t="n">
        <v>30</v>
      </c>
      <c r="B34" s="30" t="s">
        <v>157</v>
      </c>
      <c r="C34" s="30" t="s">
        <v>158</v>
      </c>
      <c r="D34" s="31" t="s">
        <v>174</v>
      </c>
      <c r="E34" s="32" t="str">
        <f aca="false">Comparativo!E34</f>
        <v>No informa</v>
      </c>
      <c r="F34" s="33" t="s">
        <v>6</v>
      </c>
      <c r="G34" s="30" t="s">
        <v>175</v>
      </c>
      <c r="H34" s="32" t="str">
        <f aca="false">Comparativo!G34</f>
        <v>Parcial</v>
      </c>
      <c r="I34" s="33" t="s">
        <v>7</v>
      </c>
      <c r="J34" s="30" t="s">
        <v>176</v>
      </c>
      <c r="K34" s="32" t="str">
        <f aca="false">Comparativo!I34</f>
        <v>No cumple</v>
      </c>
      <c r="L34" s="33" t="s">
        <v>6</v>
      </c>
      <c r="M34" s="30" t="s">
        <v>177</v>
      </c>
    </row>
    <row r="35" customFormat="false" ht="35.05" hidden="false" customHeight="false" outlineLevel="0" collapsed="false">
      <c r="A35" s="29" t="n">
        <v>31</v>
      </c>
      <c r="B35" s="30" t="s">
        <v>157</v>
      </c>
      <c r="C35" s="30" t="s">
        <v>158</v>
      </c>
      <c r="D35" s="31" t="s">
        <v>178</v>
      </c>
      <c r="E35" s="32" t="str">
        <f aca="false">Comparativo!E35</f>
        <v>No cumple</v>
      </c>
      <c r="F35" s="33" t="s">
        <v>6</v>
      </c>
      <c r="G35" s="30" t="s">
        <v>179</v>
      </c>
      <c r="H35" s="32" t="str">
        <f aca="false">Comparativo!G35</f>
        <v>No cumple</v>
      </c>
      <c r="I35" s="33" t="s">
        <v>7</v>
      </c>
      <c r="J35" s="30" t="s">
        <v>180</v>
      </c>
      <c r="K35" s="32" t="str">
        <f aca="false">Comparativo!I35</f>
        <v>No cumple</v>
      </c>
      <c r="L35" s="33" t="s">
        <v>7</v>
      </c>
      <c r="M35" s="30" t="s">
        <v>181</v>
      </c>
    </row>
    <row r="36" customFormat="false" ht="23.85" hidden="false" customHeight="false" outlineLevel="0" collapsed="false">
      <c r="A36" s="29" t="n">
        <v>32</v>
      </c>
      <c r="B36" s="30" t="s">
        <v>157</v>
      </c>
      <c r="C36" s="30" t="s">
        <v>158</v>
      </c>
      <c r="D36" s="31" t="s">
        <v>182</v>
      </c>
      <c r="E36" s="32" t="str">
        <f aca="false">Comparativo!E36</f>
        <v>No cumple</v>
      </c>
      <c r="F36" s="33" t="s">
        <v>6</v>
      </c>
      <c r="G36" s="30" t="s">
        <v>183</v>
      </c>
      <c r="H36" s="32" t="str">
        <f aca="false">Comparativo!G36</f>
        <v>No cumple</v>
      </c>
      <c r="I36" s="33" t="s">
        <v>7</v>
      </c>
      <c r="J36" s="30" t="s">
        <v>184</v>
      </c>
      <c r="K36" s="32" t="str">
        <f aca="false">Comparativo!I36</f>
        <v>No cumple</v>
      </c>
      <c r="L36" s="33" t="s">
        <v>8</v>
      </c>
      <c r="M36" s="30" t="s">
        <v>185</v>
      </c>
    </row>
    <row r="37" customFormat="false" ht="23.85" hidden="false" customHeight="false" outlineLevel="0" collapsed="false">
      <c r="A37" s="29" t="n">
        <v>33</v>
      </c>
      <c r="B37" s="30" t="s">
        <v>157</v>
      </c>
      <c r="C37" s="30" t="s">
        <v>158</v>
      </c>
      <c r="D37" s="31" t="s">
        <v>186</v>
      </c>
      <c r="E37" s="32" t="str">
        <f aca="false">Comparativo!E37</f>
        <v>No cumple</v>
      </c>
      <c r="F37" s="33" t="s">
        <v>8</v>
      </c>
      <c r="G37" s="30" t="s">
        <v>187</v>
      </c>
      <c r="H37" s="32" t="str">
        <f aca="false">Comparativo!G37</f>
        <v>No cumple</v>
      </c>
      <c r="I37" s="33" t="s">
        <v>6</v>
      </c>
      <c r="J37" s="30" t="s">
        <v>188</v>
      </c>
      <c r="K37" s="32" t="str">
        <f aca="false">Comparativo!I37</f>
        <v>No cumple</v>
      </c>
      <c r="L37" s="33" t="s">
        <v>6</v>
      </c>
      <c r="M37" s="30" t="s">
        <v>189</v>
      </c>
    </row>
    <row r="38" customFormat="false" ht="35.05" hidden="false" customHeight="false" outlineLevel="0" collapsed="false">
      <c r="A38" s="29" t="n">
        <v>34</v>
      </c>
      <c r="B38" s="30" t="s">
        <v>190</v>
      </c>
      <c r="C38" s="30" t="s">
        <v>191</v>
      </c>
      <c r="D38" s="31" t="s">
        <v>192</v>
      </c>
      <c r="E38" s="32" t="str">
        <f aca="false">Comparativo!E38</f>
        <v>No cumple</v>
      </c>
      <c r="F38" s="33" t="s">
        <v>8</v>
      </c>
      <c r="G38" s="30" t="s">
        <v>193</v>
      </c>
      <c r="H38" s="32" t="str">
        <f aca="false">Comparativo!G38</f>
        <v>No cumple</v>
      </c>
      <c r="I38" s="33" t="s">
        <v>8</v>
      </c>
      <c r="J38" s="30" t="s">
        <v>193</v>
      </c>
      <c r="K38" s="32" t="str">
        <f aca="false">Comparativo!I38</f>
        <v>No cumple</v>
      </c>
      <c r="L38" s="33" t="s">
        <v>8</v>
      </c>
      <c r="M38" s="30" t="s">
        <v>193</v>
      </c>
    </row>
    <row r="39" customFormat="false" ht="23.85" hidden="false" customHeight="false" outlineLevel="0" collapsed="false">
      <c r="A39" s="29" t="n">
        <v>35</v>
      </c>
      <c r="B39" s="30" t="s">
        <v>190</v>
      </c>
      <c r="C39" s="30" t="s">
        <v>191</v>
      </c>
      <c r="D39" s="31" t="s">
        <v>194</v>
      </c>
      <c r="E39" s="32" t="str">
        <f aca="false">Comparativo!E39</f>
        <v>No cumple</v>
      </c>
      <c r="F39" s="33" t="s">
        <v>8</v>
      </c>
      <c r="G39" s="30" t="s">
        <v>193</v>
      </c>
      <c r="H39" s="32" t="str">
        <f aca="false">Comparativo!G39</f>
        <v>No cumple</v>
      </c>
      <c r="I39" s="33" t="s">
        <v>8</v>
      </c>
      <c r="J39" s="30" t="s">
        <v>193</v>
      </c>
      <c r="K39" s="32" t="str">
        <f aca="false">Comparativo!I39</f>
        <v>No cumple</v>
      </c>
      <c r="L39" s="33" t="s">
        <v>8</v>
      </c>
      <c r="M39" s="30" t="s">
        <v>193</v>
      </c>
    </row>
    <row r="40" customFormat="false" ht="23.85" hidden="false" customHeight="false" outlineLevel="0" collapsed="false">
      <c r="A40" s="29" t="n">
        <v>36</v>
      </c>
      <c r="B40" s="30" t="s">
        <v>195</v>
      </c>
      <c r="C40" s="30" t="s">
        <v>196</v>
      </c>
      <c r="D40" s="31" t="s">
        <v>197</v>
      </c>
      <c r="E40" s="32" t="str">
        <f aca="false">Comparativo!E40</f>
        <v>Parcial</v>
      </c>
      <c r="F40" s="33" t="s">
        <v>7</v>
      </c>
      <c r="G40" s="30" t="s">
        <v>198</v>
      </c>
      <c r="H40" s="32" t="str">
        <f aca="false">Comparativo!G40</f>
        <v>No cumple</v>
      </c>
      <c r="I40" s="33" t="s">
        <v>7</v>
      </c>
      <c r="J40" s="30" t="s">
        <v>199</v>
      </c>
      <c r="K40" s="32" t="str">
        <f aca="false">Comparativo!I40</f>
        <v>No cumple</v>
      </c>
      <c r="L40" s="33" t="s">
        <v>7</v>
      </c>
      <c r="M40" s="30" t="s">
        <v>200</v>
      </c>
    </row>
  </sheetData>
  <autoFilter ref="A4:M40"/>
  <conditionalFormatting sqref="E5:E40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10">
      <formula>"Parcial"</formula>
    </cfRule>
    <cfRule type="cellIs" priority="4" operator="equal" aboveAverage="0" equalAverage="0" bottom="0" percent="0" rank="0" text="" dxfId="11">
      <formula>"No cumple"</formula>
    </cfRule>
    <cfRule type="cellIs" priority="5" operator="equal" aboveAverage="0" equalAverage="0" bottom="0" percent="0" rank="0" text="" dxfId="12">
      <formula>"No informa"</formula>
    </cfRule>
  </conditionalFormatting>
  <conditionalFormatting sqref="F5:F40">
    <cfRule type="cellIs" priority="6" operator="equal" aboveAverage="0" equalAverage="0" bottom="0" percent="0" rank="0" text="" dxfId="9">
      <formula>"Cumple"</formula>
    </cfRule>
    <cfRule type="cellIs" priority="7" operator="equal" aboveAverage="0" equalAverage="0" bottom="0" percent="0" rank="0" text="" dxfId="10">
      <formula>"Parcial"</formula>
    </cfRule>
    <cfRule type="cellIs" priority="8" operator="equal" aboveAverage="0" equalAverage="0" bottom="0" percent="0" rank="0" text="" dxfId="11">
      <formula>"No cumple"</formula>
    </cfRule>
    <cfRule type="cellIs" priority="9" operator="equal" aboveAverage="0" equalAverage="0" bottom="0" percent="0" rank="0" text="" dxfId="12">
      <formula>"No informa"</formula>
    </cfRule>
  </conditionalFormatting>
  <conditionalFormatting sqref="H5:H40">
    <cfRule type="cellIs" priority="10" operator="equal" aboveAverage="0" equalAverage="0" bottom="0" percent="0" rank="0" text="" dxfId="9">
      <formula>"Cumple"</formula>
    </cfRule>
    <cfRule type="cellIs" priority="11" operator="equal" aboveAverage="0" equalAverage="0" bottom="0" percent="0" rank="0" text="" dxfId="10">
      <formula>"Parcial"</formula>
    </cfRule>
    <cfRule type="cellIs" priority="12" operator="equal" aboveAverage="0" equalAverage="0" bottom="0" percent="0" rank="0" text="" dxfId="11">
      <formula>"No cumple"</formula>
    </cfRule>
    <cfRule type="cellIs" priority="13" operator="equal" aboveAverage="0" equalAverage="0" bottom="0" percent="0" rank="0" text="" dxfId="12">
      <formula>"No informa"</formula>
    </cfRule>
  </conditionalFormatting>
  <conditionalFormatting sqref="I5:I40">
    <cfRule type="cellIs" priority="14" operator="equal" aboveAverage="0" equalAverage="0" bottom="0" percent="0" rank="0" text="" dxfId="9">
      <formula>"Cumple"</formula>
    </cfRule>
    <cfRule type="cellIs" priority="15" operator="equal" aboveAverage="0" equalAverage="0" bottom="0" percent="0" rank="0" text="" dxfId="10">
      <formula>"Parcial"</formula>
    </cfRule>
    <cfRule type="cellIs" priority="16" operator="equal" aboveAverage="0" equalAverage="0" bottom="0" percent="0" rank="0" text="" dxfId="11">
      <formula>"No cumple"</formula>
    </cfRule>
    <cfRule type="cellIs" priority="17" operator="equal" aboveAverage="0" equalAverage="0" bottom="0" percent="0" rank="0" text="" dxfId="12">
      <formula>"No informa"</formula>
    </cfRule>
  </conditionalFormatting>
  <conditionalFormatting sqref="K5:K40">
    <cfRule type="cellIs" priority="18" operator="equal" aboveAverage="0" equalAverage="0" bottom="0" percent="0" rank="0" text="" dxfId="9">
      <formula>"Cumple"</formula>
    </cfRule>
    <cfRule type="cellIs" priority="19" operator="equal" aboveAverage="0" equalAverage="0" bottom="0" percent="0" rank="0" text="" dxfId="10">
      <formula>"Parcial"</formula>
    </cfRule>
    <cfRule type="cellIs" priority="20" operator="equal" aboveAverage="0" equalAverage="0" bottom="0" percent="0" rank="0" text="" dxfId="11">
      <formula>"No cumple"</formula>
    </cfRule>
    <cfRule type="cellIs" priority="21" operator="equal" aboveAverage="0" equalAverage="0" bottom="0" percent="0" rank="0" text="" dxfId="12">
      <formula>"No informa"</formula>
    </cfRule>
  </conditionalFormatting>
  <conditionalFormatting sqref="L5:L40">
    <cfRule type="cellIs" priority="22" operator="equal" aboveAverage="0" equalAverage="0" bottom="0" percent="0" rank="0" text="" dxfId="9">
      <formula>"Cumple"</formula>
    </cfRule>
    <cfRule type="cellIs" priority="23" operator="equal" aboveAverage="0" equalAverage="0" bottom="0" percent="0" rank="0" text="" dxfId="10">
      <formula>"Parcial"</formula>
    </cfRule>
    <cfRule type="cellIs" priority="24" operator="equal" aboveAverage="0" equalAverage="0" bottom="0" percent="0" rank="0" text="" dxfId="11">
      <formula>"No cumple"</formula>
    </cfRule>
    <cfRule type="cellIs" priority="25" operator="equal" aboveAverage="0" equalAverage="0" bottom="0" percent="0" rank="0" text="" dxfId="12">
      <formula>"No informa"</formula>
    </cfRule>
  </conditionalFormatting>
  <dataValidations count="1">
    <dataValidation allowBlank="false" errorStyle="stop" operator="between" showDropDown="false" showErrorMessage="false" showInputMessage="false" sqref="F5:F40 I5:I40 L5:L40" type="list">
      <formula1>"Cumple,Parcial,No cumple,No informa"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3"/>
    <col collapsed="false" customWidth="true" hidden="false" outlineLevel="0" max="6" min="6" style="1" width="48"/>
    <col collapsed="false" customWidth="true" hidden="false" outlineLevel="0" max="7" min="7" style="1" width="13"/>
    <col collapsed="false" customWidth="true" hidden="false" outlineLevel="0" max="8" min="8" style="1" width="48"/>
    <col collapsed="false" customWidth="true" hidden="false" outlineLevel="0" max="9" min="9" style="1" width="13"/>
    <col collapsed="false" customWidth="true" hidden="false" outlineLevel="0" max="10" min="10" style="1" width="48"/>
  </cols>
  <sheetData>
    <row r="1" customFormat="false" ht="17.25" hidden="false" customHeight="true" outlineLevel="0" collapsed="false">
      <c r="A1" s="2" t="s">
        <v>201</v>
      </c>
    </row>
    <row r="2" customFormat="false" ht="15" hidden="false" customHeight="true" outlineLevel="0" collapsed="false">
      <c r="A2" s="3" t="s">
        <v>202</v>
      </c>
    </row>
    <row r="4" customFormat="false" ht="39" hidden="false" customHeight="true" outlineLevel="0" collapsed="false">
      <c r="A4" s="28" t="s">
        <v>30</v>
      </c>
      <c r="B4" s="28" t="s">
        <v>31</v>
      </c>
      <c r="C4" s="28" t="s">
        <v>32</v>
      </c>
      <c r="D4" s="28" t="s">
        <v>33</v>
      </c>
      <c r="E4" s="28" t="s">
        <v>203</v>
      </c>
      <c r="F4" s="28" t="s">
        <v>36</v>
      </c>
      <c r="G4" s="28" t="s">
        <v>204</v>
      </c>
      <c r="H4" s="28" t="s">
        <v>39</v>
      </c>
      <c r="I4" s="28" t="s">
        <v>205</v>
      </c>
      <c r="J4" s="28" t="s">
        <v>42</v>
      </c>
    </row>
    <row r="5" customFormat="false" ht="34.5" hidden="false" customHeight="true" outlineLevel="0" collapsed="false">
      <c r="A5" s="34" t="n">
        <v>1</v>
      </c>
      <c r="B5" s="35" t="s">
        <v>43</v>
      </c>
      <c r="C5" s="35" t="s">
        <v>44</v>
      </c>
      <c r="D5" s="36" t="s">
        <v>45</v>
      </c>
      <c r="E5" s="34" t="s">
        <v>8</v>
      </c>
      <c r="F5" s="35" t="s">
        <v>206</v>
      </c>
      <c r="G5" s="34" t="s">
        <v>7</v>
      </c>
      <c r="H5" s="35" t="s">
        <v>207</v>
      </c>
      <c r="I5" s="34" t="s">
        <v>6</v>
      </c>
      <c r="J5" s="35" t="s">
        <v>208</v>
      </c>
    </row>
    <row r="6" customFormat="false" ht="23.25" hidden="false" customHeight="true" outlineLevel="0" collapsed="false">
      <c r="A6" s="34" t="n">
        <v>2</v>
      </c>
      <c r="B6" s="35" t="s">
        <v>43</v>
      </c>
      <c r="C6" s="35" t="s">
        <v>49</v>
      </c>
      <c r="D6" s="36" t="s">
        <v>50</v>
      </c>
      <c r="E6" s="34" t="s">
        <v>6</v>
      </c>
      <c r="F6" s="35" t="s">
        <v>209</v>
      </c>
      <c r="G6" s="34" t="s">
        <v>7</v>
      </c>
      <c r="H6" s="35" t="s">
        <v>210</v>
      </c>
      <c r="I6" s="34" t="s">
        <v>9</v>
      </c>
      <c r="J6" s="35" t="s">
        <v>211</v>
      </c>
    </row>
    <row r="7" customFormat="false" ht="23.25" hidden="false" customHeight="true" outlineLevel="0" collapsed="false">
      <c r="A7" s="34" t="n">
        <v>3</v>
      </c>
      <c r="B7" s="35" t="s">
        <v>43</v>
      </c>
      <c r="C7" s="35" t="s">
        <v>54</v>
      </c>
      <c r="D7" s="36" t="s">
        <v>55</v>
      </c>
      <c r="E7" s="34" t="s">
        <v>7</v>
      </c>
      <c r="F7" s="35" t="s">
        <v>212</v>
      </c>
      <c r="G7" s="34" t="s">
        <v>7</v>
      </c>
      <c r="H7" s="35" t="s">
        <v>213</v>
      </c>
      <c r="I7" s="34" t="s">
        <v>7</v>
      </c>
      <c r="J7" s="35" t="s">
        <v>214</v>
      </c>
    </row>
    <row r="8" customFormat="false" ht="23.25" hidden="false" customHeight="true" outlineLevel="0" collapsed="false">
      <c r="A8" s="34" t="n">
        <v>4</v>
      </c>
      <c r="B8" s="35" t="s">
        <v>43</v>
      </c>
      <c r="C8" s="35" t="s">
        <v>59</v>
      </c>
      <c r="D8" s="36" t="s">
        <v>60</v>
      </c>
      <c r="E8" s="34" t="s">
        <v>9</v>
      </c>
      <c r="F8" s="35" t="s">
        <v>215</v>
      </c>
      <c r="G8" s="34" t="s">
        <v>9</v>
      </c>
      <c r="H8" s="35" t="s">
        <v>216</v>
      </c>
      <c r="I8" s="34" t="s">
        <v>7</v>
      </c>
      <c r="J8" s="35" t="s">
        <v>217</v>
      </c>
    </row>
    <row r="9" customFormat="false" ht="23.25" hidden="false" customHeight="true" outlineLevel="0" collapsed="false">
      <c r="A9" s="34" t="n">
        <v>5</v>
      </c>
      <c r="B9" s="35" t="s">
        <v>43</v>
      </c>
      <c r="C9" s="35" t="s">
        <v>54</v>
      </c>
      <c r="D9" s="36" t="s">
        <v>64</v>
      </c>
      <c r="E9" s="34" t="s">
        <v>9</v>
      </c>
      <c r="F9" s="35" t="s">
        <v>218</v>
      </c>
      <c r="G9" s="34" t="s">
        <v>7</v>
      </c>
      <c r="H9" s="35" t="s">
        <v>219</v>
      </c>
      <c r="I9" s="34" t="s">
        <v>9</v>
      </c>
      <c r="J9" s="35" t="s">
        <v>220</v>
      </c>
    </row>
    <row r="10" customFormat="false" ht="23.25" hidden="false" customHeight="true" outlineLevel="0" collapsed="false">
      <c r="A10" s="34" t="n">
        <v>6</v>
      </c>
      <c r="B10" s="35" t="s">
        <v>43</v>
      </c>
      <c r="C10" s="35" t="s">
        <v>54</v>
      </c>
      <c r="D10" s="36" t="s">
        <v>68</v>
      </c>
      <c r="E10" s="34" t="s">
        <v>7</v>
      </c>
      <c r="F10" s="35" t="s">
        <v>221</v>
      </c>
      <c r="G10" s="34" t="s">
        <v>6</v>
      </c>
      <c r="H10" s="35" t="s">
        <v>222</v>
      </c>
      <c r="I10" s="34" t="s">
        <v>9</v>
      </c>
      <c r="J10" s="35" t="s">
        <v>223</v>
      </c>
    </row>
    <row r="11" customFormat="false" ht="23.25" hidden="false" customHeight="true" outlineLevel="0" collapsed="false">
      <c r="A11" s="34" t="n">
        <v>7</v>
      </c>
      <c r="B11" s="35" t="s">
        <v>43</v>
      </c>
      <c r="C11" s="35" t="s">
        <v>54</v>
      </c>
      <c r="D11" s="36" t="s">
        <v>72</v>
      </c>
      <c r="E11" s="34" t="s">
        <v>9</v>
      </c>
      <c r="F11" s="35" t="s">
        <v>224</v>
      </c>
      <c r="G11" s="34" t="s">
        <v>7</v>
      </c>
      <c r="H11" s="35" t="s">
        <v>225</v>
      </c>
      <c r="I11" s="34" t="s">
        <v>9</v>
      </c>
      <c r="J11" s="35" t="s">
        <v>223</v>
      </c>
    </row>
    <row r="12" customFormat="false" ht="23.25" hidden="false" customHeight="true" outlineLevel="0" collapsed="false">
      <c r="A12" s="34" t="n">
        <v>8</v>
      </c>
      <c r="B12" s="35" t="s">
        <v>43</v>
      </c>
      <c r="C12" s="35" t="s">
        <v>54</v>
      </c>
      <c r="D12" s="36" t="s">
        <v>76</v>
      </c>
      <c r="E12" s="34" t="s">
        <v>7</v>
      </c>
      <c r="F12" s="35" t="s">
        <v>226</v>
      </c>
      <c r="G12" s="34" t="s">
        <v>9</v>
      </c>
      <c r="H12" s="35" t="s">
        <v>227</v>
      </c>
      <c r="I12" s="34" t="s">
        <v>9</v>
      </c>
      <c r="J12" s="35" t="s">
        <v>227</v>
      </c>
    </row>
    <row r="13" customFormat="false" ht="34.5" hidden="false" customHeight="true" outlineLevel="0" collapsed="false">
      <c r="A13" s="34" t="n">
        <v>9</v>
      </c>
      <c r="B13" s="35" t="s">
        <v>80</v>
      </c>
      <c r="C13" s="35" t="s">
        <v>81</v>
      </c>
      <c r="D13" s="36" t="s">
        <v>82</v>
      </c>
      <c r="E13" s="34" t="s">
        <v>8</v>
      </c>
      <c r="F13" s="35" t="s">
        <v>228</v>
      </c>
      <c r="G13" s="34" t="s">
        <v>6</v>
      </c>
      <c r="H13" s="35" t="s">
        <v>229</v>
      </c>
      <c r="I13" s="34" t="s">
        <v>9</v>
      </c>
      <c r="J13" s="35" t="s">
        <v>223</v>
      </c>
    </row>
    <row r="14" customFormat="false" ht="23.25" hidden="false" customHeight="true" outlineLevel="0" collapsed="false">
      <c r="A14" s="34" t="n">
        <v>10</v>
      </c>
      <c r="B14" s="35" t="s">
        <v>86</v>
      </c>
      <c r="C14" s="35" t="s">
        <v>87</v>
      </c>
      <c r="D14" s="36" t="s">
        <v>88</v>
      </c>
      <c r="E14" s="34" t="s">
        <v>9</v>
      </c>
      <c r="F14" s="35" t="s">
        <v>224</v>
      </c>
      <c r="G14" s="34" t="s">
        <v>6</v>
      </c>
      <c r="H14" s="35" t="s">
        <v>230</v>
      </c>
      <c r="I14" s="34" t="s">
        <v>9</v>
      </c>
      <c r="J14" s="35" t="s">
        <v>223</v>
      </c>
    </row>
    <row r="15" customFormat="false" ht="23.25" hidden="false" customHeight="true" outlineLevel="0" collapsed="false">
      <c r="A15" s="34" t="n">
        <v>11</v>
      </c>
      <c r="B15" s="35" t="s">
        <v>86</v>
      </c>
      <c r="C15" s="35" t="s">
        <v>87</v>
      </c>
      <c r="D15" s="36" t="s">
        <v>90</v>
      </c>
      <c r="E15" s="34" t="s">
        <v>9</v>
      </c>
      <c r="F15" s="35" t="s">
        <v>224</v>
      </c>
      <c r="G15" s="34" t="s">
        <v>7</v>
      </c>
      <c r="H15" s="35" t="s">
        <v>231</v>
      </c>
      <c r="I15" s="34" t="s">
        <v>9</v>
      </c>
      <c r="J15" s="35" t="s">
        <v>223</v>
      </c>
    </row>
    <row r="16" customFormat="false" ht="23.25" hidden="false" customHeight="true" outlineLevel="0" collapsed="false">
      <c r="A16" s="34" t="n">
        <v>12</v>
      </c>
      <c r="B16" s="35" t="s">
        <v>86</v>
      </c>
      <c r="C16" s="35" t="s">
        <v>87</v>
      </c>
      <c r="D16" s="36" t="s">
        <v>92</v>
      </c>
      <c r="E16" s="34" t="s">
        <v>9</v>
      </c>
      <c r="F16" s="35" t="s">
        <v>224</v>
      </c>
      <c r="G16" s="34" t="s">
        <v>7</v>
      </c>
      <c r="H16" s="35" t="s">
        <v>232</v>
      </c>
      <c r="I16" s="34" t="s">
        <v>9</v>
      </c>
      <c r="J16" s="35" t="s">
        <v>223</v>
      </c>
    </row>
    <row r="17" customFormat="false" ht="34.5" hidden="false" customHeight="true" outlineLevel="0" collapsed="false">
      <c r="A17" s="34" t="n">
        <v>13</v>
      </c>
      <c r="B17" s="35" t="s">
        <v>93</v>
      </c>
      <c r="C17" s="35" t="s">
        <v>94</v>
      </c>
      <c r="D17" s="36" t="s">
        <v>95</v>
      </c>
      <c r="E17" s="34" t="s">
        <v>7</v>
      </c>
      <c r="F17" s="35" t="s">
        <v>233</v>
      </c>
      <c r="G17" s="34" t="s">
        <v>7</v>
      </c>
      <c r="H17" s="35" t="s">
        <v>234</v>
      </c>
      <c r="I17" s="34" t="s">
        <v>9</v>
      </c>
      <c r="J17" s="35" t="s">
        <v>235</v>
      </c>
    </row>
    <row r="18" customFormat="false" ht="23.25" hidden="false" customHeight="true" outlineLevel="0" collapsed="false">
      <c r="A18" s="34" t="n">
        <v>14</v>
      </c>
      <c r="B18" s="35" t="s">
        <v>93</v>
      </c>
      <c r="C18" s="35" t="s">
        <v>94</v>
      </c>
      <c r="D18" s="36" t="s">
        <v>99</v>
      </c>
      <c r="E18" s="34" t="s">
        <v>9</v>
      </c>
      <c r="F18" s="35" t="s">
        <v>100</v>
      </c>
      <c r="G18" s="34" t="s">
        <v>9</v>
      </c>
      <c r="H18" s="35" t="s">
        <v>100</v>
      </c>
      <c r="I18" s="34" t="s">
        <v>9</v>
      </c>
      <c r="J18" s="35" t="s">
        <v>100</v>
      </c>
    </row>
    <row r="19" customFormat="false" ht="23.25" hidden="false" customHeight="true" outlineLevel="0" collapsed="false">
      <c r="A19" s="34" t="n">
        <v>15</v>
      </c>
      <c r="B19" s="35" t="s">
        <v>103</v>
      </c>
      <c r="C19" s="35" t="s">
        <v>104</v>
      </c>
      <c r="D19" s="36" t="s">
        <v>105</v>
      </c>
      <c r="E19" s="34" t="s">
        <v>8</v>
      </c>
      <c r="F19" s="35" t="s">
        <v>236</v>
      </c>
      <c r="G19" s="34" t="s">
        <v>7</v>
      </c>
      <c r="H19" s="35" t="s">
        <v>237</v>
      </c>
      <c r="I19" s="34" t="s">
        <v>6</v>
      </c>
      <c r="J19" s="35" t="s">
        <v>238</v>
      </c>
    </row>
    <row r="20" customFormat="false" ht="23.25" hidden="false" customHeight="true" outlineLevel="0" collapsed="false">
      <c r="A20" s="34" t="n">
        <v>16</v>
      </c>
      <c r="B20" s="35" t="s">
        <v>103</v>
      </c>
      <c r="C20" s="35" t="s">
        <v>104</v>
      </c>
      <c r="D20" s="36" t="s">
        <v>109</v>
      </c>
      <c r="E20" s="34" t="s">
        <v>8</v>
      </c>
      <c r="F20" s="35" t="s">
        <v>239</v>
      </c>
      <c r="G20" s="34" t="s">
        <v>7</v>
      </c>
      <c r="H20" s="35" t="s">
        <v>237</v>
      </c>
      <c r="I20" s="34" t="s">
        <v>6</v>
      </c>
      <c r="J20" s="35" t="s">
        <v>240</v>
      </c>
    </row>
    <row r="21" customFormat="false" ht="23.25" hidden="false" customHeight="true" outlineLevel="0" collapsed="false">
      <c r="A21" s="34" t="n">
        <v>17</v>
      </c>
      <c r="B21" s="35" t="s">
        <v>113</v>
      </c>
      <c r="C21" s="35" t="s">
        <v>114</v>
      </c>
      <c r="D21" s="36" t="s">
        <v>115</v>
      </c>
      <c r="E21" s="34" t="s">
        <v>8</v>
      </c>
      <c r="F21" s="35" t="s">
        <v>241</v>
      </c>
      <c r="G21" s="34" t="s">
        <v>6</v>
      </c>
      <c r="H21" s="35" t="s">
        <v>242</v>
      </c>
      <c r="I21" s="34" t="s">
        <v>9</v>
      </c>
      <c r="J21" s="35" t="s">
        <v>223</v>
      </c>
    </row>
    <row r="22" customFormat="false" ht="23.25" hidden="false" customHeight="true" outlineLevel="0" collapsed="false">
      <c r="A22" s="34" t="n">
        <v>18</v>
      </c>
      <c r="B22" s="35" t="s">
        <v>119</v>
      </c>
      <c r="C22" s="35" t="s">
        <v>120</v>
      </c>
      <c r="D22" s="36" t="s">
        <v>121</v>
      </c>
      <c r="E22" s="34" t="s">
        <v>8</v>
      </c>
      <c r="F22" s="35" t="s">
        <v>243</v>
      </c>
      <c r="G22" s="34" t="s">
        <v>6</v>
      </c>
      <c r="H22" s="35" t="s">
        <v>244</v>
      </c>
      <c r="I22" s="34" t="s">
        <v>7</v>
      </c>
      <c r="J22" s="35" t="s">
        <v>245</v>
      </c>
    </row>
    <row r="23" customFormat="false" ht="23.25" hidden="false" customHeight="true" outlineLevel="0" collapsed="false">
      <c r="A23" s="34" t="n">
        <v>19</v>
      </c>
      <c r="B23" s="35" t="s">
        <v>119</v>
      </c>
      <c r="C23" s="35" t="s">
        <v>120</v>
      </c>
      <c r="D23" s="36" t="s">
        <v>125</v>
      </c>
      <c r="E23" s="34" t="s">
        <v>8</v>
      </c>
      <c r="F23" s="35" t="s">
        <v>246</v>
      </c>
      <c r="G23" s="34" t="s">
        <v>9</v>
      </c>
      <c r="H23" s="35" t="s">
        <v>247</v>
      </c>
      <c r="I23" s="34" t="s">
        <v>9</v>
      </c>
      <c r="J23" s="35" t="s">
        <v>247</v>
      </c>
    </row>
    <row r="24" customFormat="false" ht="34.5" hidden="false" customHeight="true" outlineLevel="0" collapsed="false">
      <c r="A24" s="34" t="n">
        <v>20</v>
      </c>
      <c r="B24" s="35" t="s">
        <v>129</v>
      </c>
      <c r="C24" s="35" t="s">
        <v>120</v>
      </c>
      <c r="D24" s="36" t="s">
        <v>130</v>
      </c>
      <c r="E24" s="34" t="s">
        <v>8</v>
      </c>
      <c r="F24" s="35" t="s">
        <v>248</v>
      </c>
      <c r="G24" s="34" t="s">
        <v>6</v>
      </c>
      <c r="H24" s="35" t="s">
        <v>249</v>
      </c>
      <c r="I24" s="34" t="s">
        <v>7</v>
      </c>
      <c r="J24" s="35" t="s">
        <v>250</v>
      </c>
    </row>
    <row r="25" customFormat="false" ht="23.25" hidden="false" customHeight="true" outlineLevel="0" collapsed="false">
      <c r="A25" s="34" t="n">
        <v>21</v>
      </c>
      <c r="B25" s="35" t="s">
        <v>129</v>
      </c>
      <c r="C25" s="35" t="s">
        <v>120</v>
      </c>
      <c r="D25" s="36" t="s">
        <v>134</v>
      </c>
      <c r="E25" s="34" t="s">
        <v>8</v>
      </c>
      <c r="F25" s="35" t="s">
        <v>248</v>
      </c>
      <c r="G25" s="34" t="s">
        <v>7</v>
      </c>
      <c r="H25" s="35" t="s">
        <v>251</v>
      </c>
      <c r="I25" s="34" t="s">
        <v>8</v>
      </c>
      <c r="J25" s="35" t="s">
        <v>252</v>
      </c>
    </row>
    <row r="26" customFormat="false" ht="23.25" hidden="false" customHeight="true" outlineLevel="0" collapsed="false">
      <c r="A26" s="34" t="n">
        <v>22</v>
      </c>
      <c r="B26" s="35" t="s">
        <v>138</v>
      </c>
      <c r="C26" s="35" t="s">
        <v>139</v>
      </c>
      <c r="D26" s="36" t="s">
        <v>140</v>
      </c>
      <c r="E26" s="34" t="s">
        <v>8</v>
      </c>
      <c r="F26" s="35" t="s">
        <v>253</v>
      </c>
      <c r="G26" s="34" t="s">
        <v>7</v>
      </c>
      <c r="H26" s="35" t="s">
        <v>254</v>
      </c>
      <c r="I26" s="34" t="s">
        <v>8</v>
      </c>
      <c r="J26" s="35" t="s">
        <v>253</v>
      </c>
    </row>
    <row r="27" customFormat="false" ht="15" hidden="false" customHeight="true" outlineLevel="0" collapsed="false">
      <c r="A27" s="34" t="n">
        <v>23</v>
      </c>
      <c r="B27" s="35" t="s">
        <v>138</v>
      </c>
      <c r="C27" s="35" t="s">
        <v>139</v>
      </c>
      <c r="D27" s="36" t="s">
        <v>144</v>
      </c>
      <c r="E27" s="34" t="s">
        <v>8</v>
      </c>
      <c r="F27" s="35" t="s">
        <v>253</v>
      </c>
      <c r="G27" s="34" t="s">
        <v>6</v>
      </c>
      <c r="H27" s="35" t="s">
        <v>255</v>
      </c>
      <c r="I27" s="34" t="s">
        <v>8</v>
      </c>
      <c r="J27" s="35" t="s">
        <v>253</v>
      </c>
    </row>
    <row r="28" customFormat="false" ht="23.25" hidden="false" customHeight="true" outlineLevel="0" collapsed="false">
      <c r="A28" s="34" t="n">
        <v>24</v>
      </c>
      <c r="B28" s="35" t="s">
        <v>138</v>
      </c>
      <c r="C28" s="35" t="s">
        <v>139</v>
      </c>
      <c r="D28" s="36" t="s">
        <v>148</v>
      </c>
      <c r="E28" s="34" t="s">
        <v>8</v>
      </c>
      <c r="F28" s="35" t="s">
        <v>253</v>
      </c>
      <c r="G28" s="34" t="s">
        <v>9</v>
      </c>
      <c r="H28" s="35" t="s">
        <v>223</v>
      </c>
      <c r="I28" s="34" t="s">
        <v>8</v>
      </c>
      <c r="J28" s="35" t="s">
        <v>253</v>
      </c>
    </row>
    <row r="29" customFormat="false" ht="23.25" hidden="false" customHeight="true" outlineLevel="0" collapsed="false">
      <c r="A29" s="34" t="n">
        <v>25</v>
      </c>
      <c r="B29" s="35" t="s">
        <v>151</v>
      </c>
      <c r="C29" s="35" t="s">
        <v>152</v>
      </c>
      <c r="D29" s="36" t="s">
        <v>153</v>
      </c>
      <c r="E29" s="34" t="s">
        <v>8</v>
      </c>
      <c r="F29" s="35" t="s">
        <v>165</v>
      </c>
      <c r="G29" s="34" t="s">
        <v>7</v>
      </c>
      <c r="H29" s="35" t="s">
        <v>256</v>
      </c>
      <c r="I29" s="34" t="s">
        <v>8</v>
      </c>
      <c r="J29" s="35" t="s">
        <v>165</v>
      </c>
    </row>
    <row r="30" customFormat="false" ht="23.25" hidden="false" customHeight="true" outlineLevel="0" collapsed="false">
      <c r="A30" s="34" t="n">
        <v>26</v>
      </c>
      <c r="B30" s="35" t="s">
        <v>157</v>
      </c>
      <c r="C30" s="35" t="s">
        <v>158</v>
      </c>
      <c r="D30" s="36" t="s">
        <v>159</v>
      </c>
      <c r="E30" s="34" t="s">
        <v>7</v>
      </c>
      <c r="F30" s="35" t="s">
        <v>257</v>
      </c>
      <c r="G30" s="34" t="s">
        <v>8</v>
      </c>
      <c r="H30" s="35" t="s">
        <v>258</v>
      </c>
      <c r="I30" s="34" t="s">
        <v>8</v>
      </c>
      <c r="J30" s="35" t="s">
        <v>259</v>
      </c>
    </row>
    <row r="31" customFormat="false" ht="23.25" hidden="false" customHeight="true" outlineLevel="0" collapsed="false">
      <c r="A31" s="34" t="n">
        <v>27</v>
      </c>
      <c r="B31" s="35" t="s">
        <v>157</v>
      </c>
      <c r="C31" s="35" t="s">
        <v>158</v>
      </c>
      <c r="D31" s="36" t="s">
        <v>163</v>
      </c>
      <c r="E31" s="34" t="s">
        <v>9</v>
      </c>
      <c r="F31" s="35" t="s">
        <v>260</v>
      </c>
      <c r="G31" s="34" t="s">
        <v>9</v>
      </c>
      <c r="H31" s="35" t="s">
        <v>165</v>
      </c>
      <c r="I31" s="34" t="s">
        <v>9</v>
      </c>
      <c r="J31" s="35" t="s">
        <v>165</v>
      </c>
    </row>
    <row r="32" customFormat="false" ht="23.25" hidden="false" customHeight="true" outlineLevel="0" collapsed="false">
      <c r="A32" s="34" t="n">
        <v>28</v>
      </c>
      <c r="B32" s="35" t="s">
        <v>157</v>
      </c>
      <c r="C32" s="35" t="s">
        <v>158</v>
      </c>
      <c r="D32" s="36" t="s">
        <v>167</v>
      </c>
      <c r="E32" s="34" t="s">
        <v>8</v>
      </c>
      <c r="F32" s="35" t="s">
        <v>261</v>
      </c>
      <c r="G32" s="34" t="s">
        <v>8</v>
      </c>
      <c r="H32" s="35" t="s">
        <v>261</v>
      </c>
      <c r="I32" s="34" t="s">
        <v>8</v>
      </c>
      <c r="J32" s="35" t="s">
        <v>261</v>
      </c>
    </row>
    <row r="33" customFormat="false" ht="15" hidden="false" customHeight="true" outlineLevel="0" collapsed="false">
      <c r="A33" s="34" t="n">
        <v>29</v>
      </c>
      <c r="B33" s="35" t="s">
        <v>157</v>
      </c>
      <c r="C33" s="35" t="s">
        <v>158</v>
      </c>
      <c r="D33" s="36" t="s">
        <v>171</v>
      </c>
      <c r="E33" s="34" t="s">
        <v>8</v>
      </c>
      <c r="F33" s="35" t="s">
        <v>261</v>
      </c>
      <c r="G33" s="34" t="s">
        <v>8</v>
      </c>
      <c r="H33" s="35" t="s">
        <v>261</v>
      </c>
      <c r="I33" s="34" t="s">
        <v>8</v>
      </c>
      <c r="J33" s="35" t="s">
        <v>261</v>
      </c>
    </row>
    <row r="34" customFormat="false" ht="15" hidden="false" customHeight="true" outlineLevel="0" collapsed="false">
      <c r="A34" s="34" t="n">
        <v>30</v>
      </c>
      <c r="B34" s="35" t="s">
        <v>157</v>
      </c>
      <c r="C34" s="35" t="s">
        <v>158</v>
      </c>
      <c r="D34" s="36" t="s">
        <v>174</v>
      </c>
      <c r="E34" s="34" t="s">
        <v>9</v>
      </c>
      <c r="F34" s="35" t="s">
        <v>227</v>
      </c>
      <c r="G34" s="34" t="s">
        <v>7</v>
      </c>
      <c r="H34" s="35" t="s">
        <v>262</v>
      </c>
      <c r="I34" s="34" t="s">
        <v>8</v>
      </c>
      <c r="J34" s="35" t="s">
        <v>227</v>
      </c>
    </row>
    <row r="35" customFormat="false" ht="23.25" hidden="false" customHeight="true" outlineLevel="0" collapsed="false">
      <c r="A35" s="34" t="n">
        <v>31</v>
      </c>
      <c r="B35" s="35" t="s">
        <v>157</v>
      </c>
      <c r="C35" s="35" t="s">
        <v>158</v>
      </c>
      <c r="D35" s="36" t="s">
        <v>178</v>
      </c>
      <c r="E35" s="34" t="s">
        <v>8</v>
      </c>
      <c r="F35" s="35" t="s">
        <v>263</v>
      </c>
      <c r="G35" s="34" t="s">
        <v>8</v>
      </c>
      <c r="H35" s="35" t="s">
        <v>263</v>
      </c>
      <c r="I35" s="34" t="s">
        <v>8</v>
      </c>
      <c r="J35" s="35" t="s">
        <v>263</v>
      </c>
    </row>
    <row r="36" customFormat="false" ht="23.25" hidden="false" customHeight="true" outlineLevel="0" collapsed="false">
      <c r="A36" s="34" t="n">
        <v>32</v>
      </c>
      <c r="B36" s="35" t="s">
        <v>157</v>
      </c>
      <c r="C36" s="35" t="s">
        <v>158</v>
      </c>
      <c r="D36" s="36" t="s">
        <v>182</v>
      </c>
      <c r="E36" s="34" t="s">
        <v>8</v>
      </c>
      <c r="F36" s="35" t="s">
        <v>264</v>
      </c>
      <c r="G36" s="34" t="s">
        <v>8</v>
      </c>
      <c r="H36" s="35" t="s">
        <v>265</v>
      </c>
      <c r="I36" s="34" t="s">
        <v>8</v>
      </c>
      <c r="J36" s="35" t="s">
        <v>227</v>
      </c>
    </row>
    <row r="37" customFormat="false" ht="15" hidden="false" customHeight="true" outlineLevel="0" collapsed="false">
      <c r="A37" s="34" t="n">
        <v>33</v>
      </c>
      <c r="B37" s="35" t="s">
        <v>157</v>
      </c>
      <c r="C37" s="35" t="s">
        <v>158</v>
      </c>
      <c r="D37" s="36" t="s">
        <v>186</v>
      </c>
      <c r="E37" s="34" t="s">
        <v>8</v>
      </c>
      <c r="F37" s="35" t="s">
        <v>266</v>
      </c>
      <c r="G37" s="34" t="s">
        <v>8</v>
      </c>
      <c r="H37" s="35" t="s">
        <v>266</v>
      </c>
      <c r="I37" s="34" t="s">
        <v>8</v>
      </c>
      <c r="J37" s="35" t="s">
        <v>266</v>
      </c>
    </row>
    <row r="38" customFormat="false" ht="23.25" hidden="false" customHeight="true" outlineLevel="0" collapsed="false">
      <c r="A38" s="34" t="n">
        <v>34</v>
      </c>
      <c r="B38" s="35" t="s">
        <v>190</v>
      </c>
      <c r="C38" s="35" t="s">
        <v>191</v>
      </c>
      <c r="D38" s="36" t="s">
        <v>192</v>
      </c>
      <c r="E38" s="34" t="s">
        <v>8</v>
      </c>
      <c r="F38" s="35" t="s">
        <v>267</v>
      </c>
      <c r="G38" s="34" t="s">
        <v>8</v>
      </c>
      <c r="H38" s="35" t="s">
        <v>267</v>
      </c>
      <c r="I38" s="34" t="s">
        <v>8</v>
      </c>
      <c r="J38" s="35" t="s">
        <v>267</v>
      </c>
    </row>
    <row r="39" customFormat="false" ht="23.25" hidden="false" customHeight="true" outlineLevel="0" collapsed="false">
      <c r="A39" s="34" t="n">
        <v>35</v>
      </c>
      <c r="B39" s="35" t="s">
        <v>190</v>
      </c>
      <c r="C39" s="35" t="s">
        <v>191</v>
      </c>
      <c r="D39" s="36" t="s">
        <v>194</v>
      </c>
      <c r="E39" s="34" t="s">
        <v>8</v>
      </c>
      <c r="F39" s="35" t="s">
        <v>267</v>
      </c>
      <c r="G39" s="34" t="s">
        <v>8</v>
      </c>
      <c r="H39" s="35" t="s">
        <v>267</v>
      </c>
      <c r="I39" s="34" t="s">
        <v>8</v>
      </c>
      <c r="J39" s="35" t="s">
        <v>267</v>
      </c>
    </row>
    <row r="40" customFormat="false" ht="23.25" hidden="false" customHeight="true" outlineLevel="0" collapsed="false">
      <c r="A40" s="34" t="n">
        <v>36</v>
      </c>
      <c r="B40" s="35" t="s">
        <v>195</v>
      </c>
      <c r="C40" s="35" t="s">
        <v>196</v>
      </c>
      <c r="D40" s="36" t="s">
        <v>197</v>
      </c>
      <c r="E40" s="34" t="s">
        <v>7</v>
      </c>
      <c r="F40" s="35" t="s">
        <v>268</v>
      </c>
      <c r="G40" s="34" t="s">
        <v>8</v>
      </c>
      <c r="H40" s="35" t="s">
        <v>269</v>
      </c>
      <c r="I40" s="34" t="s">
        <v>8</v>
      </c>
      <c r="J40" s="35" t="s">
        <v>270</v>
      </c>
    </row>
  </sheetData>
  <autoFilter ref="A4:J40"/>
  <conditionalFormatting sqref="E5:E40">
    <cfRule type="cellIs" priority="2" operator="equal" aboveAverage="0" equalAverage="0" bottom="0" percent="0" rank="0" text="" dxfId="13">
      <formula>"Cumple"</formula>
    </cfRule>
    <cfRule type="cellIs" priority="3" operator="equal" aboveAverage="0" equalAverage="0" bottom="0" percent="0" rank="0" text="" dxfId="14">
      <formula>"Parcial"</formula>
    </cfRule>
    <cfRule type="cellIs" priority="4" operator="equal" aboveAverage="0" equalAverage="0" bottom="0" percent="0" rank="0" text="" dxfId="15">
      <formula>"No cumple"</formula>
    </cfRule>
    <cfRule type="cellIs" priority="5" operator="equal" aboveAverage="0" equalAverage="0" bottom="0" percent="0" rank="0" text="" dxfId="16">
      <formula>"No informa"</formula>
    </cfRule>
  </conditionalFormatting>
  <conditionalFormatting sqref="G5:G40">
    <cfRule type="cellIs" priority="6" operator="equal" aboveAverage="0" equalAverage="0" bottom="0" percent="0" rank="0" text="" dxfId="13">
      <formula>"Cumple"</formula>
    </cfRule>
    <cfRule type="cellIs" priority="7" operator="equal" aboveAverage="0" equalAverage="0" bottom="0" percent="0" rank="0" text="" dxfId="14">
      <formula>"Parcial"</formula>
    </cfRule>
    <cfRule type="cellIs" priority="8" operator="equal" aboveAverage="0" equalAverage="0" bottom="0" percent="0" rank="0" text="" dxfId="15">
      <formula>"No cumple"</formula>
    </cfRule>
    <cfRule type="cellIs" priority="9" operator="equal" aboveAverage="0" equalAverage="0" bottom="0" percent="0" rank="0" text="" dxfId="16">
      <formula>"No informa"</formula>
    </cfRule>
  </conditionalFormatting>
  <conditionalFormatting sqref="I5:I40">
    <cfRule type="cellIs" priority="10" operator="equal" aboveAverage="0" equalAverage="0" bottom="0" percent="0" rank="0" text="" dxfId="13">
      <formula>"Cumple"</formula>
    </cfRule>
    <cfRule type="cellIs" priority="11" operator="equal" aboveAverage="0" equalAverage="0" bottom="0" percent="0" rank="0" text="" dxfId="14">
      <formula>"Parcial"</formula>
    </cfRule>
    <cfRule type="cellIs" priority="12" operator="equal" aboveAverage="0" equalAverage="0" bottom="0" percent="0" rank="0" text="" dxfId="15">
      <formula>"No cumple"</formula>
    </cfRule>
    <cfRule type="cellIs" priority="13" operator="equal" aboveAverage="0" equalAverage="0" bottom="0" percent="0" rank="0" text="" dxfId="16">
      <formula>"No informa"</formula>
    </cfRule>
  </conditionalFormatting>
  <dataValidations count="1">
    <dataValidation allowBlank="true" errorStyle="stop" operator="between" showDropDown="false" showErrorMessage="false" showInputMessage="false" sqref="E5:E40 G5:G40 I5:I40" type="list">
      <formula1>"Cumple,Parcial,No cumple,No informa"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30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4"/>
  </cols>
  <sheetData>
    <row r="1" customFormat="false" ht="17.25" hidden="false" customHeight="true" outlineLevel="0" collapsed="false">
      <c r="A1" s="2" t="s">
        <v>271</v>
      </c>
    </row>
    <row r="3" customFormat="false" ht="39" hidden="false" customHeight="true" outlineLevel="0" collapsed="false">
      <c r="A3" s="28" t="s">
        <v>272</v>
      </c>
      <c r="B3" s="28" t="s">
        <v>273</v>
      </c>
      <c r="C3" s="28" t="s">
        <v>274</v>
      </c>
      <c r="D3" s="28" t="s">
        <v>275</v>
      </c>
      <c r="E3" s="28" t="s">
        <v>276</v>
      </c>
      <c r="F3" s="28" t="s">
        <v>277</v>
      </c>
      <c r="G3" s="28" t="s">
        <v>278</v>
      </c>
      <c r="H3" s="28" t="s">
        <v>279</v>
      </c>
      <c r="I3" s="28" t="s">
        <v>280</v>
      </c>
      <c r="J3" s="28" t="s">
        <v>281</v>
      </c>
      <c r="K3" s="28" t="s">
        <v>282</v>
      </c>
      <c r="L3" s="28" t="s">
        <v>283</v>
      </c>
      <c r="M3" s="28" t="s">
        <v>284</v>
      </c>
    </row>
    <row r="4" customFormat="false" ht="15" hidden="false" customHeight="true" outlineLevel="0" collapsed="false">
      <c r="A4" s="35" t="s">
        <v>3</v>
      </c>
      <c r="B4" s="35" t="s">
        <v>285</v>
      </c>
      <c r="C4" s="35" t="s">
        <v>286</v>
      </c>
      <c r="D4" s="35" t="s">
        <v>287</v>
      </c>
      <c r="E4" s="34" t="n">
        <v>183</v>
      </c>
      <c r="F4" s="34" t="s">
        <v>288</v>
      </c>
      <c r="G4" s="34" t="s">
        <v>289</v>
      </c>
      <c r="H4" s="34" t="s">
        <v>290</v>
      </c>
      <c r="I4" s="34" t="s">
        <v>291</v>
      </c>
      <c r="J4" s="34" t="n">
        <v>12</v>
      </c>
      <c r="K4" s="34" t="s">
        <v>292</v>
      </c>
      <c r="L4" s="34" t="s">
        <v>293</v>
      </c>
      <c r="M4" s="34" t="s">
        <v>9</v>
      </c>
    </row>
    <row r="5" customFormat="false" ht="15" hidden="false" customHeight="true" outlineLevel="0" collapsed="false">
      <c r="A5" s="35" t="s">
        <v>3</v>
      </c>
      <c r="B5" s="35" t="s">
        <v>285</v>
      </c>
      <c r="C5" s="35" t="s">
        <v>294</v>
      </c>
      <c r="D5" s="35" t="s">
        <v>295</v>
      </c>
      <c r="E5" s="34" t="s">
        <v>9</v>
      </c>
      <c r="F5" s="34" t="s">
        <v>296</v>
      </c>
      <c r="G5" s="34" t="s">
        <v>295</v>
      </c>
      <c r="H5" s="34" t="s">
        <v>295</v>
      </c>
      <c r="I5" s="34" t="s">
        <v>297</v>
      </c>
      <c r="J5" s="34" t="s">
        <v>9</v>
      </c>
      <c r="K5" s="34" t="s">
        <v>295</v>
      </c>
      <c r="L5" s="34" t="s">
        <v>295</v>
      </c>
      <c r="M5" s="34" t="s">
        <v>295</v>
      </c>
    </row>
    <row r="6" customFormat="false" ht="15" hidden="false" customHeight="true" outlineLevel="0" collapsed="false">
      <c r="A6" s="35" t="s">
        <v>3</v>
      </c>
      <c r="B6" s="35" t="s">
        <v>285</v>
      </c>
      <c r="C6" s="35" t="s">
        <v>298</v>
      </c>
      <c r="D6" s="35" t="s">
        <v>295</v>
      </c>
      <c r="E6" s="34" t="s">
        <v>9</v>
      </c>
      <c r="F6" s="34" t="s">
        <v>296</v>
      </c>
      <c r="G6" s="34" t="s">
        <v>295</v>
      </c>
      <c r="H6" s="34" t="s">
        <v>295</v>
      </c>
      <c r="I6" s="34" t="s">
        <v>297</v>
      </c>
      <c r="J6" s="34" t="s">
        <v>9</v>
      </c>
      <c r="K6" s="34" t="s">
        <v>295</v>
      </c>
      <c r="L6" s="34" t="s">
        <v>295</v>
      </c>
      <c r="M6" s="34" t="s">
        <v>295</v>
      </c>
    </row>
    <row r="7" customFormat="false" ht="23.25" hidden="false" customHeight="true" outlineLevel="0" collapsed="false">
      <c r="A7" s="35" t="s">
        <v>3</v>
      </c>
      <c r="B7" s="35" t="s">
        <v>299</v>
      </c>
      <c r="C7" s="35" t="s">
        <v>294</v>
      </c>
      <c r="D7" s="35" t="s">
        <v>295</v>
      </c>
      <c r="E7" s="34" t="s">
        <v>9</v>
      </c>
      <c r="F7" s="34" t="s">
        <v>296</v>
      </c>
      <c r="G7" s="34" t="s">
        <v>300</v>
      </c>
      <c r="H7" s="34" t="s">
        <v>301</v>
      </c>
      <c r="I7" s="34" t="s">
        <v>302</v>
      </c>
      <c r="J7" s="34" t="s">
        <v>9</v>
      </c>
      <c r="K7" s="34" t="s">
        <v>293</v>
      </c>
      <c r="L7" s="34" t="s">
        <v>295</v>
      </c>
      <c r="M7" s="34" t="s">
        <v>295</v>
      </c>
    </row>
    <row r="8" customFormat="false" ht="23.25" hidden="false" customHeight="true" outlineLevel="0" collapsed="false">
      <c r="A8" s="35" t="s">
        <v>3</v>
      </c>
      <c r="B8" s="35" t="s">
        <v>299</v>
      </c>
      <c r="C8" s="35" t="s">
        <v>294</v>
      </c>
      <c r="D8" s="35" t="s">
        <v>295</v>
      </c>
      <c r="E8" s="34" t="s">
        <v>9</v>
      </c>
      <c r="F8" s="34" t="s">
        <v>296</v>
      </c>
      <c r="G8" s="34" t="s">
        <v>303</v>
      </c>
      <c r="H8" s="34" t="s">
        <v>304</v>
      </c>
      <c r="I8" s="34" t="s">
        <v>305</v>
      </c>
      <c r="J8" s="34" t="s">
        <v>9</v>
      </c>
      <c r="K8" s="34" t="s">
        <v>293</v>
      </c>
      <c r="L8" s="34" t="s">
        <v>295</v>
      </c>
      <c r="M8" s="34" t="s">
        <v>295</v>
      </c>
    </row>
    <row r="9" customFormat="false" ht="15" hidden="false" customHeight="true" outlineLevel="0" collapsed="false">
      <c r="A9" s="35" t="s">
        <v>3</v>
      </c>
      <c r="B9" s="35" t="s">
        <v>299</v>
      </c>
      <c r="C9" s="35" t="s">
        <v>298</v>
      </c>
      <c r="D9" s="35" t="s">
        <v>295</v>
      </c>
      <c r="E9" s="34" t="s">
        <v>9</v>
      </c>
      <c r="F9" s="34" t="s">
        <v>296</v>
      </c>
      <c r="G9" s="34" t="s">
        <v>300</v>
      </c>
      <c r="H9" s="34" t="s">
        <v>301</v>
      </c>
      <c r="I9" s="34" t="s">
        <v>306</v>
      </c>
      <c r="J9" s="34" t="s">
        <v>9</v>
      </c>
      <c r="K9" s="34" t="s">
        <v>293</v>
      </c>
      <c r="L9" s="34" t="s">
        <v>295</v>
      </c>
      <c r="M9" s="34" t="s">
        <v>295</v>
      </c>
    </row>
    <row r="10" customFormat="false" ht="15" hidden="false" customHeight="true" outlineLevel="0" collapsed="false">
      <c r="A10" s="35" t="s">
        <v>3</v>
      </c>
      <c r="B10" s="35" t="s">
        <v>299</v>
      </c>
      <c r="C10" s="35" t="s">
        <v>298</v>
      </c>
      <c r="D10" s="35" t="s">
        <v>295</v>
      </c>
      <c r="E10" s="34" t="s">
        <v>9</v>
      </c>
      <c r="F10" s="34" t="s">
        <v>296</v>
      </c>
      <c r="G10" s="34" t="s">
        <v>303</v>
      </c>
      <c r="H10" s="34" t="s">
        <v>304</v>
      </c>
      <c r="I10" s="34" t="s">
        <v>307</v>
      </c>
      <c r="J10" s="34" t="s">
        <v>9</v>
      </c>
      <c r="K10" s="34" t="s">
        <v>293</v>
      </c>
      <c r="L10" s="34" t="s">
        <v>295</v>
      </c>
      <c r="M10" s="34" t="s">
        <v>295</v>
      </c>
    </row>
    <row r="11" customFormat="false" ht="15" hidden="false" customHeight="true" outlineLevel="0" collapsed="false">
      <c r="A11" s="35" t="s">
        <v>4</v>
      </c>
      <c r="B11" s="35" t="s">
        <v>285</v>
      </c>
      <c r="C11" s="35" t="s">
        <v>294</v>
      </c>
      <c r="D11" s="35" t="s">
        <v>308</v>
      </c>
      <c r="E11" s="34" t="n">
        <v>169</v>
      </c>
      <c r="F11" s="34" t="s">
        <v>296</v>
      </c>
      <c r="G11" s="34" t="s">
        <v>289</v>
      </c>
      <c r="H11" s="34" t="s">
        <v>290</v>
      </c>
      <c r="I11" s="34" t="s">
        <v>9</v>
      </c>
      <c r="J11" s="34" t="n">
        <v>26</v>
      </c>
      <c r="K11" s="34" t="s">
        <v>293</v>
      </c>
      <c r="L11" s="34" t="s">
        <v>292</v>
      </c>
      <c r="M11" s="34" t="s">
        <v>9</v>
      </c>
    </row>
    <row r="12" customFormat="false" ht="15" hidden="false" customHeight="true" outlineLevel="0" collapsed="false">
      <c r="A12" s="35" t="s">
        <v>4</v>
      </c>
      <c r="B12" s="35" t="s">
        <v>285</v>
      </c>
      <c r="C12" s="35" t="s">
        <v>286</v>
      </c>
      <c r="D12" s="35" t="s">
        <v>287</v>
      </c>
      <c r="E12" s="34" t="n">
        <v>183</v>
      </c>
      <c r="F12" s="34" t="s">
        <v>288</v>
      </c>
      <c r="G12" s="34" t="s">
        <v>289</v>
      </c>
      <c r="H12" s="34" t="s">
        <v>290</v>
      </c>
      <c r="I12" s="34" t="s">
        <v>9</v>
      </c>
      <c r="J12" s="34" t="n">
        <v>12</v>
      </c>
      <c r="K12" s="34" t="s">
        <v>292</v>
      </c>
      <c r="L12" s="34" t="s">
        <v>293</v>
      </c>
      <c r="M12" s="34" t="s">
        <v>9</v>
      </c>
    </row>
    <row r="13" customFormat="false" ht="15" hidden="false" customHeight="true" outlineLevel="0" collapsed="false">
      <c r="A13" s="35" t="s">
        <v>4</v>
      </c>
      <c r="B13" s="35" t="s">
        <v>285</v>
      </c>
      <c r="C13" s="35" t="s">
        <v>298</v>
      </c>
      <c r="D13" s="35" t="s">
        <v>309</v>
      </c>
      <c r="E13" s="34" t="n">
        <v>195</v>
      </c>
      <c r="F13" s="34" t="s">
        <v>296</v>
      </c>
      <c r="G13" s="34" t="s">
        <v>289</v>
      </c>
      <c r="H13" s="34" t="s">
        <v>290</v>
      </c>
      <c r="I13" s="34" t="s">
        <v>9</v>
      </c>
      <c r="J13" s="34" t="n">
        <v>0</v>
      </c>
      <c r="K13" s="34" t="s">
        <v>293</v>
      </c>
      <c r="L13" s="34" t="s">
        <v>293</v>
      </c>
      <c r="M13" s="34" t="s">
        <v>9</v>
      </c>
    </row>
    <row r="14" customFormat="false" ht="15" hidden="false" customHeight="true" outlineLevel="0" collapsed="false">
      <c r="A14" s="35" t="s">
        <v>5</v>
      </c>
      <c r="B14" s="35" t="s">
        <v>285</v>
      </c>
      <c r="C14" s="35" t="s">
        <v>298</v>
      </c>
      <c r="D14" s="35" t="s">
        <v>309</v>
      </c>
      <c r="E14" s="34" t="s">
        <v>9</v>
      </c>
      <c r="F14" s="34" t="s">
        <v>296</v>
      </c>
      <c r="G14" s="34" t="s">
        <v>300</v>
      </c>
      <c r="H14" s="34" t="s">
        <v>301</v>
      </c>
      <c r="I14" s="34" t="s">
        <v>310</v>
      </c>
      <c r="J14" s="34" t="s">
        <v>9</v>
      </c>
      <c r="K14" s="34" t="s">
        <v>293</v>
      </c>
      <c r="L14" s="34" t="s">
        <v>9</v>
      </c>
      <c r="M14" s="34" t="s">
        <v>292</v>
      </c>
    </row>
    <row r="15" customFormat="false" ht="15" hidden="false" customHeight="true" outlineLevel="0" collapsed="false">
      <c r="A15" s="35" t="s">
        <v>5</v>
      </c>
      <c r="B15" s="35" t="s">
        <v>285</v>
      </c>
      <c r="C15" s="35" t="s">
        <v>298</v>
      </c>
      <c r="D15" s="35" t="s">
        <v>309</v>
      </c>
      <c r="E15" s="34" t="s">
        <v>9</v>
      </c>
      <c r="F15" s="34" t="s">
        <v>296</v>
      </c>
      <c r="G15" s="34" t="s">
        <v>303</v>
      </c>
      <c r="H15" s="34" t="s">
        <v>304</v>
      </c>
      <c r="I15" s="34" t="s">
        <v>311</v>
      </c>
      <c r="J15" s="34" t="s">
        <v>9</v>
      </c>
      <c r="K15" s="34" t="s">
        <v>293</v>
      </c>
      <c r="L15" s="34" t="s">
        <v>9</v>
      </c>
      <c r="M15" s="34" t="s">
        <v>293</v>
      </c>
    </row>
    <row r="16" customFormat="false" ht="23.25" hidden="false" customHeight="true" outlineLevel="0" collapsed="false">
      <c r="A16" s="35" t="s">
        <v>5</v>
      </c>
      <c r="B16" s="35" t="s">
        <v>312</v>
      </c>
      <c r="C16" s="35" t="s">
        <v>313</v>
      </c>
      <c r="D16" s="35" t="s">
        <v>295</v>
      </c>
      <c r="E16" s="34" t="n">
        <v>5</v>
      </c>
      <c r="F16" s="34" t="s">
        <v>296</v>
      </c>
      <c r="G16" s="34" t="s">
        <v>314</v>
      </c>
      <c r="H16" s="34" t="s">
        <v>315</v>
      </c>
      <c r="I16" s="34" t="s">
        <v>316</v>
      </c>
      <c r="J16" s="34" t="s">
        <v>9</v>
      </c>
      <c r="K16" s="34" t="s">
        <v>293</v>
      </c>
      <c r="L16" s="34" t="s">
        <v>317</v>
      </c>
      <c r="M16" s="34" t="s">
        <v>317</v>
      </c>
    </row>
    <row r="17" customFormat="false" ht="23.25" hidden="false" customHeight="true" outlineLevel="0" collapsed="false">
      <c r="A17" s="35" t="s">
        <v>5</v>
      </c>
      <c r="B17" s="35" t="s">
        <v>318</v>
      </c>
      <c r="C17" s="35" t="s">
        <v>319</v>
      </c>
      <c r="D17" s="35" t="s">
        <v>295</v>
      </c>
      <c r="E17" s="34" t="n">
        <v>5</v>
      </c>
      <c r="F17" s="34" t="s">
        <v>296</v>
      </c>
      <c r="G17" s="34" t="s">
        <v>314</v>
      </c>
      <c r="H17" s="34" t="s">
        <v>320</v>
      </c>
      <c r="I17" s="34" t="s">
        <v>321</v>
      </c>
      <c r="J17" s="34" t="s">
        <v>9</v>
      </c>
      <c r="K17" s="34" t="s">
        <v>293</v>
      </c>
      <c r="L17" s="34" t="s">
        <v>317</v>
      </c>
      <c r="M17" s="34" t="s">
        <v>317</v>
      </c>
    </row>
  </sheetData>
  <conditionalFormatting sqref="K4:K17">
    <cfRule type="cellIs" priority="2" operator="equal" aboveAverage="0" equalAverage="0" bottom="0" percent="0" rank="0" text="" dxfId="13">
      <formula>"Sí"</formula>
    </cfRule>
    <cfRule type="cellIs" priority="3" operator="equal" aboveAverage="0" equalAverage="0" bottom="0" percent="0" rank="0" text="" dxfId="15">
      <formula>"No"</formula>
    </cfRule>
  </conditionalFormatting>
  <conditionalFormatting sqref="L4:L17">
    <cfRule type="cellIs" priority="4" operator="equal" aboveAverage="0" equalAverage="0" bottom="0" percent="0" rank="0" text="" dxfId="13">
      <formula>"Sí"</formula>
    </cfRule>
    <cfRule type="cellIs" priority="5" operator="equal" aboveAverage="0" equalAverage="0" bottom="0" percent="0" rank="0" text="" dxfId="15">
      <formula>"No"</formula>
    </cfRule>
  </conditionalFormatting>
  <conditionalFormatting sqref="M4:M17">
    <cfRule type="cellIs" priority="6" operator="equal" aboveAverage="0" equalAverage="0" bottom="0" percent="0" rank="0" text="" dxfId="13">
      <formula>"Sí"</formula>
    </cfRule>
    <cfRule type="cellIs" priority="7" operator="equal" aboveAverage="0" equalAverage="0" bottom="0" percent="0" rank="0" text="" dxfId="15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2026-10-28T14:58:46Z</dcterms:created>
  <dc:creator>openpyxl</dc:creator>
  <dc:description/>
  <dc:language>en-US</dc:language>
  <cp:lastModifiedBy/>
  <dcterms:modified xsi:type="dcterms:W3CDTF">2026-10-29T16:46:31Z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