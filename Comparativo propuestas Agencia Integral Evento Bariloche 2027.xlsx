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Comparativo técnico" sheetId="2" state="visible" r:id="rId4"/>
    <sheet name="Costos" sheetId="3" state="visible" r:id="rId5"/>
    <sheet name="Evaluació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<sst xmlns="http://schemas.openxmlformats.org/spreadsheetml/2006/main" count="527" uniqueCount="276">
  <si>
    <t xml:space="preserve">Comparativo de propuestas – Agencia Integral Evento Bariloche 2027</t>
  </si>
  <si>
    <t xml:space="preserve">Uso</t>
  </si>
  <si>
    <t xml:space="preserve">Completar una columna por agencia con lo que declara en su propuesta. El pliego (punto 4.1) pide estos datos; si una agencia no los informa, dejar la celda vacía y anotarlo en Comentarios.</t>
  </si>
  <si>
    <t xml:space="preserve">Celdas amarillas</t>
  </si>
  <si>
    <t xml:space="preserve">Datos a completar (nombre de la agencia, cantidades, medidas, montos, puntajes).</t>
  </si>
  <si>
    <t xml:space="preserve">Celdas grises</t>
  </si>
  <si>
    <t xml:space="preserve">Se calculan solas: total de staff, superficie de carpa y escenario, total de LED, totales de costos, puntaje y ranking.</t>
  </si>
  <si>
    <t xml:space="preserve">Texto en rojo</t>
  </si>
  <si>
    <t xml:space="preserve">La agencia declara menos que el mínimo del pliego, o "No" donde el pliego pide "Sí".</t>
  </si>
  <si>
    <t xml:space="preserve">Hoja Comparativo técnico</t>
  </si>
  <si>
    <t xml:space="preserve">Staff por rubro, medidas, m² de LED, cantidades de gráfica, equipamiento y condiciones comerciales.</t>
  </si>
  <si>
    <t xml:space="preserve">Hoja Costos</t>
  </si>
  <si>
    <t xml:space="preserve">Subtotal por rubro según la apertura del punto 4.2 del pliego, fee, total, costo por participante y diferencia vs. la oferta más baja.</t>
  </si>
  <si>
    <t xml:space="preserve">Hoja Evaluación</t>
  </si>
  <si>
    <t xml:space="preserve">Puntaje de 1 a 5 por criterio con pesos ajustables. El precio se puntúa automáticamente desde la hoja Costos.</t>
  </si>
  <si>
    <t xml:space="preserve">Ejemplo de carga (valores ilustrativos)</t>
  </si>
  <si>
    <t xml:space="preserve">Ítem</t>
  </si>
  <si>
    <t xml:space="preserve">Unidad</t>
  </si>
  <si>
    <t xml:space="preserve">Pedido en pliego</t>
  </si>
  <si>
    <t xml:space="preserve">Agencia 1</t>
  </si>
  <si>
    <t xml:space="preserve">Escenario: ancho</t>
  </si>
  <si>
    <t xml:space="preserve">m</t>
  </si>
  <si>
    <t xml:space="preserve">Escenario: profundidad</t>
  </si>
  <si>
    <t xml:space="preserve">Escenario: superficie</t>
  </si>
  <si>
    <t xml:space="preserve">m²</t>
  </si>
  <si>
    <t xml:space="preserve">Pantalla LED fondo de escenario</t>
  </si>
  <si>
    <t xml:space="preserve">Traducción simultánea: receptores</t>
  </si>
  <si>
    <t xml:space="preserve">unidades</t>
  </si>
  <si>
    <t xml:space="preserve">15</t>
  </si>
  <si>
    <t xml:space="preserve">Comparativo técnico de propuestas – Agencia Integral Evento Bariloche 2027</t>
  </si>
  <si>
    <t xml:space="preserve">Completar las celdas amarillas con lo que declara cada agencia. Las celdas grises se calculan solas. La columna "Pedido en pliego" indica el mínimo o la referencia del pliego.</t>
  </si>
  <si>
    <t xml:space="preserve">Punto</t>
  </si>
  <si>
    <t xml:space="preserve">Ítem a describir por la agencia</t>
  </si>
  <si>
    <t xml:space="preserve">Agencia 2</t>
  </si>
  <si>
    <t xml:space="preserve">Agencia 3</t>
  </si>
  <si>
    <t xml:space="preserve">Agencia 4</t>
  </si>
  <si>
    <t xml:space="preserve">Comentarios VW</t>
  </si>
  <si>
    <t xml:space="preserve">Nombre de la agencia</t>
  </si>
  <si>
    <t xml:space="preserve">3.1 Staff y coordinación</t>
  </si>
  <si>
    <t xml:space="preserve">3.1</t>
  </si>
  <si>
    <t xml:space="preserve">Project Manager</t>
  </si>
  <si>
    <t xml:space="preserve">personas</t>
  </si>
  <si>
    <t xml:space="preserve">1</t>
  </si>
  <si>
    <t xml:space="preserve">Productor general</t>
  </si>
  <si>
    <t xml:space="preserve">Coordinadores de aéreos y traslados</t>
  </si>
  <si>
    <t xml:space="preserve">Coordinadores de hotel y acreditación</t>
  </si>
  <si>
    <t xml:space="preserve">Coordinadores de show y técnica (incluye stage manager)</t>
  </si>
  <si>
    <t xml:space="preserve">Coordinadores de test drive</t>
  </si>
  <si>
    <t xml:space="preserve">3.1 / 3.18</t>
  </si>
  <si>
    <t xml:space="preserve">Coordinadores de prensa</t>
  </si>
  <si>
    <t xml:space="preserve">Azafatas y anfitriones</t>
  </si>
  <si>
    <t xml:space="preserve">3.6 / 3.7</t>
  </si>
  <si>
    <t xml:space="preserve">Técnicos y operadores (sonido, luces, LED, video)</t>
  </si>
  <si>
    <t xml:space="preserve">3.17</t>
  </si>
  <si>
    <t xml:space="preserve">Personal de carga, descarga y utilería</t>
  </si>
  <si>
    <t xml:space="preserve">Seguridad y serenos</t>
  </si>
  <si>
    <t xml:space="preserve">Otros (detallar en comentarios)</t>
  </si>
  <si>
    <t xml:space="preserve">TOTAL STAFF</t>
  </si>
  <si>
    <t xml:space="preserve">Staff en Aeroparque (ida)</t>
  </si>
  <si>
    <t xml:space="preserve">Staff en aeropuerto de Bariloche (arribo)</t>
  </si>
  <si>
    <t xml:space="preserve">Staff asignado al grupo prensa (día 2)</t>
  </si>
  <si>
    <t xml:space="preserve">Staff asignado al grupo concesionarios (día 2)</t>
  </si>
  <si>
    <t xml:space="preserve">Experiencia del Project Manager</t>
  </si>
  <si>
    <t xml:space="preserve">años</t>
  </si>
  <si>
    <t xml:space="preserve">3.3 Plataforma de acreditación, registro y check-in</t>
  </si>
  <si>
    <t xml:space="preserve">3.3</t>
  </si>
  <si>
    <t xml:space="preserve">Tipo de plataforma (web, app o ambas)</t>
  </si>
  <si>
    <t xml:space="preserve">texto</t>
  </si>
  <si>
    <t xml:space="preserve">Web o app</t>
  </si>
  <si>
    <t xml:space="preserve">Desarrollo propio o licencia de terceros</t>
  </si>
  <si>
    <t xml:space="preserve">Check-in con QR</t>
  </si>
  <si>
    <t xml:space="preserve">sí/no</t>
  </si>
  <si>
    <t xml:space="preserve">Sí</t>
  </si>
  <si>
    <t xml:space="preserve">Agenda personal por invitado (grupo y tanda de test drive)</t>
  </si>
  <si>
    <t xml:space="preserve">Panel de seguimiento en tiempo real para VW</t>
  </si>
  <si>
    <t xml:space="preserve">Puestos de acreditación (AEP + resort)</t>
  </si>
  <si>
    <t xml:space="preserve">puestos</t>
  </si>
  <si>
    <t xml:space="preserve">Impresoras de credenciales en el lugar</t>
  </si>
  <si>
    <t xml:space="preserve">Demo disponible para VW</t>
  </si>
  <si>
    <t xml:space="preserve">3.4 Identidad de marca y branding</t>
  </si>
  <si>
    <t xml:space="preserve">3.4</t>
  </si>
  <si>
    <t xml:space="preserve">Cantidad total de piezas gráficas</t>
  </si>
  <si>
    <t xml:space="preserve">piezas</t>
  </si>
  <si>
    <t xml:space="preserve">Superficie total de gráfica</t>
  </si>
  <si>
    <t xml:space="preserve">Piezas en aeropuertos (AEP y BRC)</t>
  </si>
  <si>
    <t xml:space="preserve">Piezas de señalética</t>
  </si>
  <si>
    <t xml:space="preserve">Buses brandeados</t>
  </si>
  <si>
    <t xml:space="preserve">Espacios de photo opportunity</t>
  </si>
  <si>
    <t xml:space="preserve">2</t>
  </si>
  <si>
    <t xml:space="preserve">Logos corpóreos</t>
  </si>
  <si>
    <t xml:space="preserve">5</t>
  </si>
  <si>
    <t xml:space="preserve">3.5 Ambientación</t>
  </si>
  <si>
    <t xml:space="preserve">3.5</t>
  </si>
  <si>
    <t xml:space="preserve">Livings / sectores lounge</t>
  </si>
  <si>
    <t xml:space="preserve">Mesas para la cena en la carpa</t>
  </si>
  <si>
    <t xml:space="preserve">Sillas / cubiertos para la cena en la carpa</t>
  </si>
  <si>
    <t xml:space="preserve">205</t>
  </si>
  <si>
    <t xml:space="preserve">Entrega renders de ambientación</t>
  </si>
  <si>
    <t xml:space="preserve">3.6 Carpa, escenario y show de develación</t>
  </si>
  <si>
    <t xml:space="preserve">3.6</t>
  </si>
  <si>
    <t xml:space="preserve">Carpa: largo</t>
  </si>
  <si>
    <t xml:space="preserve">Carpa: ancho</t>
  </si>
  <si>
    <t xml:space="preserve">Carpa: superficie</t>
  </si>
  <si>
    <t xml:space="preserve">Carpa: altura libre</t>
  </si>
  <si>
    <t xml:space="preserve">Carpa: capacidad en formato show</t>
  </si>
  <si>
    <t xml:space="preserve">Carpa: capacidad en formato cena</t>
  </si>
  <si>
    <t xml:space="preserve">Carpa: carga de techo para rigging</t>
  </si>
  <si>
    <t xml:space="preserve">kg</t>
  </si>
  <si>
    <t xml:space="preserve">Carpa: resistencia al viento certificada</t>
  </si>
  <si>
    <t xml:space="preserve">km/h</t>
  </si>
  <si>
    <t xml:space="preserve">Carpa: tipo de cerramiento lateral</t>
  </si>
  <si>
    <t xml:space="preserve">Carpa: certificación estructural de profesional matriculado</t>
  </si>
  <si>
    <t xml:space="preserve">Escenario: altura</t>
  </si>
  <si>
    <t xml:space="preserve">Plataforma giratoria: diámetro</t>
  </si>
  <si>
    <t xml:space="preserve">Plataforma giratoria: capacidad de carga</t>
  </si>
  <si>
    <t xml:space="preserve">Peso de la camioneta</t>
  </si>
  <si>
    <t xml:space="preserve">Plataforma giratoria: velocidad y sentido regulables</t>
  </si>
  <si>
    <t xml:space="preserve">Pantallas LED laterales</t>
  </si>
  <si>
    <t xml:space="preserve">Otras pantallas LED (accesos, cocktail)</t>
  </si>
  <si>
    <t xml:space="preserve">TOTAL PANTALLA LED</t>
  </si>
  <si>
    <t xml:space="preserve">Pitch de la pantalla LED principal</t>
  </si>
  <si>
    <t xml:space="preserve">mm</t>
  </si>
  <si>
    <t xml:space="preserve">Mecanismo de develación</t>
  </si>
  <si>
    <t xml:space="preserve">Kabuki, cortina u otro</t>
  </si>
  <si>
    <t xml:space="preserve">Efectos especiales incluidos</t>
  </si>
  <si>
    <t xml:space="preserve">Presentador / conductor bilingüe</t>
  </si>
  <si>
    <t xml:space="preserve">Artistas / performers en el show</t>
  </si>
  <si>
    <t xml:space="preserve">Guardarropa: capacidad</t>
  </si>
  <si>
    <t xml:space="preserve">prendas</t>
  </si>
  <si>
    <t xml:space="preserve">3.7 / 3.8 Técnica y traducción</t>
  </si>
  <si>
    <t xml:space="preserve">3.7</t>
  </si>
  <si>
    <t xml:space="preserve">Sistema de sonido principal (marca y modelo)</t>
  </si>
  <si>
    <t xml:space="preserve">Equipos de iluminación escénica (móviles y fijos)</t>
  </si>
  <si>
    <t xml:space="preserve">Micrófonos inalámbricos</t>
  </si>
  <si>
    <t xml:space="preserve">Playback de presentaciones con backup</t>
  </si>
  <si>
    <t xml:space="preserve">Equipos de intercom</t>
  </si>
  <si>
    <t xml:space="preserve">Técnica para la charla del test drive (exteriores)</t>
  </si>
  <si>
    <t xml:space="preserve">Traducción simultánea: intérpretes</t>
  </si>
  <si>
    <t xml:space="preserve">3.8</t>
  </si>
  <si>
    <t xml:space="preserve">Cena día 2: DJ / musicalización incluida</t>
  </si>
  <si>
    <t xml:space="preserve">3.9 Infraestructura no incluida por el hotel</t>
  </si>
  <si>
    <t xml:space="preserve">3.9</t>
  </si>
  <si>
    <t xml:space="preserve">Grupo electrógeno principal</t>
  </si>
  <si>
    <t xml:space="preserve">kVA</t>
  </si>
  <si>
    <t xml:space="preserve">Grupo electrógeno de respaldo</t>
  </si>
  <si>
    <t xml:space="preserve">Combustible y operador permanente incluidos</t>
  </si>
  <si>
    <t xml:space="preserve">Calefacción: cantidad de equipos</t>
  </si>
  <si>
    <t xml:space="preserve">Calefacción: potencia total</t>
  </si>
  <si>
    <t xml:space="preserve">kW</t>
  </si>
  <si>
    <t xml:space="preserve">Piso técnico de carpa</t>
  </si>
  <si>
    <t xml:space="preserve">Iluminación de caminos</t>
  </si>
  <si>
    <t xml:space="preserve">metros</t>
  </si>
  <si>
    <t xml:space="preserve">Luminarias de emergencia</t>
  </si>
  <si>
    <t xml:space="preserve">Traslado resort–carpa: vehículos</t>
  </si>
  <si>
    <t xml:space="preserve">Traslado resort–carpa: frecuencia</t>
  </si>
  <si>
    <t xml:space="preserve">minutos</t>
  </si>
  <si>
    <t xml:space="preserve">Ambulancia de alta complejidad con médico</t>
  </si>
  <si>
    <t xml:space="preserve">Cobertura médica</t>
  </si>
  <si>
    <t xml:space="preserve">horas</t>
  </si>
  <si>
    <t xml:space="preserve">Internet: enlace principal</t>
  </si>
  <si>
    <t xml:space="preserve">Mbps</t>
  </si>
  <si>
    <t xml:space="preserve">Internet: tecnología del respaldo</t>
  </si>
  <si>
    <t xml:space="preserve">Wi-Fi: usuarios simultáneos</t>
  </si>
  <si>
    <t xml:space="preserve">usuarios</t>
  </si>
  <si>
    <t xml:space="preserve">3.10 / 3.11 Exhibición y limpieza de unidades</t>
  </si>
  <si>
    <t xml:space="preserve">3.10</t>
  </si>
  <si>
    <t xml:space="preserve">Unidades exhibidas con tarima/plataforma</t>
  </si>
  <si>
    <t xml:space="preserve">8</t>
  </si>
  <si>
    <t xml:space="preserve">Luminarias de producto por unidad</t>
  </si>
  <si>
    <t xml:space="preserve">Tótems / carteles de especificaciones</t>
  </si>
  <si>
    <t xml:space="preserve">3.11</t>
  </si>
  <si>
    <t xml:space="preserve">Personal de limpieza de vehículos</t>
  </si>
  <si>
    <t xml:space="preserve">3.12 / 3.13 Contenido, foto y video</t>
  </si>
  <si>
    <t xml:space="preserve">3.12</t>
  </si>
  <si>
    <t xml:space="preserve">Slides de presentaciones</t>
  </si>
  <si>
    <t xml:space="preserve">slides</t>
  </si>
  <si>
    <t xml:space="preserve">50</t>
  </si>
  <si>
    <t xml:space="preserve">Videos / animaciones para LED</t>
  </si>
  <si>
    <t xml:space="preserve">3.13</t>
  </si>
  <si>
    <t xml:space="preserve">Fotógrafos</t>
  </si>
  <si>
    <t xml:space="preserve">Camarógrafos</t>
  </si>
  <si>
    <t xml:space="preserve">Drone con permiso ANAC</t>
  </si>
  <si>
    <t xml:space="preserve">Fotos editadas entregadas</t>
  </si>
  <si>
    <t xml:space="preserve">fotos</t>
  </si>
  <si>
    <t xml:space="preserve">Duración del video resumen</t>
  </si>
  <si>
    <t xml:space="preserve">Plazo de entrega del material final</t>
  </si>
  <si>
    <t xml:space="preserve">días</t>
  </si>
  <si>
    <t xml:space="preserve">3.14 Kits, regalos y pilotines</t>
  </si>
  <si>
    <t xml:space="preserve">3.14</t>
  </si>
  <si>
    <t xml:space="preserve">Kits de bienvenida</t>
  </si>
  <si>
    <t xml:space="preserve">Contenido del kit</t>
  </si>
  <si>
    <t xml:space="preserve">Regalos de room drop</t>
  </si>
  <si>
    <t xml:space="preserve">410</t>
  </si>
  <si>
    <t xml:space="preserve">Regalo principal (descripción)</t>
  </si>
  <si>
    <t xml:space="preserve">Pilotines con branding</t>
  </si>
  <si>
    <t xml:space="preserve">3.15 / 3.16 Traslados y estacionamiento</t>
  </si>
  <si>
    <t xml:space="preserve">3.15</t>
  </si>
  <si>
    <t xml:space="preserve">Buses aeropuerto BRC – resort</t>
  </si>
  <si>
    <t xml:space="preserve">Capacidad por bus</t>
  </si>
  <si>
    <t xml:space="preserve">asientos</t>
  </si>
  <si>
    <t xml:space="preserve">Año modelo mínimo de los buses</t>
  </si>
  <si>
    <t xml:space="preserve">año</t>
  </si>
  <si>
    <t xml:space="preserve">Autos con chofer para VIP</t>
  </si>
  <si>
    <t xml:space="preserve">Personal de manejo de equipaje</t>
  </si>
  <si>
    <t xml:space="preserve">3.16</t>
  </si>
  <si>
    <t xml:space="preserve">Lugares de estacionamiento en Aeroparque</t>
  </si>
  <si>
    <t xml:space="preserve">lugares</t>
  </si>
  <si>
    <t xml:space="preserve">100</t>
  </si>
  <si>
    <t xml:space="preserve">Valet (opcional)</t>
  </si>
  <si>
    <t xml:space="preserve">Opcional</t>
  </si>
  <si>
    <t xml:space="preserve">3.17 / 3.18 Logística, seguros y prensa</t>
  </si>
  <si>
    <t xml:space="preserve">Camiones de carga (ida y vuelta)</t>
  </si>
  <si>
    <t xml:space="preserve">SADAIC y AADI-CAPIF incluidos</t>
  </si>
  <si>
    <t xml:space="preserve">Asistencia al viajero: cobertura médica</t>
  </si>
  <si>
    <t xml:space="preserve">USD</t>
  </si>
  <si>
    <t xml:space="preserve">Seguro de responsabilidad civil: suma asegurada</t>
  </si>
  <si>
    <t xml:space="preserve">ARS</t>
  </si>
  <si>
    <t xml:space="preserve">3.18</t>
  </si>
  <si>
    <t xml:space="preserve">Sets de entrevista para prensa</t>
  </si>
  <si>
    <t xml:space="preserve">Kit de prensa digital</t>
  </si>
  <si>
    <t xml:space="preserve">Condiciones comerciales y antecedentes</t>
  </si>
  <si>
    <t xml:space="preserve">4.2</t>
  </si>
  <si>
    <t xml:space="preserve">Fee de agencia</t>
  </si>
  <si>
    <t xml:space="preserve">%</t>
  </si>
  <si>
    <t xml:space="preserve">Validez de la oferta</t>
  </si>
  <si>
    <t xml:space="preserve">Anticipo solicitado</t>
  </si>
  <si>
    <t xml:space="preserve">4.1</t>
  </si>
  <si>
    <t xml:space="preserve">Eventos similares acreditados (con referencias)</t>
  </si>
  <si>
    <t xml:space="preserve">eventos</t>
  </si>
  <si>
    <t xml:space="preserve">Comparativo económico por rubro (ARS, IVA incluido)</t>
  </si>
  <si>
    <t xml:space="preserve">Cargar el subtotal de cada rubro según la cotización de cada agencia, respetando la apertura del punto 4.2 del pliego.</t>
  </si>
  <si>
    <t xml:space="preserve">Participantes</t>
  </si>
  <si>
    <t xml:space="preserve">195 invitados + 10 staff VW (dato del pliego)</t>
  </si>
  <si>
    <t xml:space="preserve">Rubro</t>
  </si>
  <si>
    <t xml:space="preserve">Staff y coordinación (incluye pasajes, alojamiento y viáticos del staff)</t>
  </si>
  <si>
    <t xml:space="preserve">3.1 / 3.2</t>
  </si>
  <si>
    <t xml:space="preserve">Plataforma de acreditación, registro y gestión de invitados</t>
  </si>
  <si>
    <t xml:space="preserve">Identidad de marca y branding</t>
  </si>
  <si>
    <t xml:space="preserve">Ambientación</t>
  </si>
  <si>
    <t xml:space="preserve">Carpa, show de develación, escenario y plataforma giratoria</t>
  </si>
  <si>
    <t xml:space="preserve">Técnica general, técnica de la cena del día 2 y traducción simultánea</t>
  </si>
  <si>
    <t xml:space="preserve">3.7 / 3.8</t>
  </si>
  <si>
    <t xml:space="preserve">Infraestructura y servicios no incluidos por el hotel</t>
  </si>
  <si>
    <t xml:space="preserve">Exhibición, iluminación y limpieza de unidades</t>
  </si>
  <si>
    <t xml:space="preserve">3.10 / 3.11</t>
  </si>
  <si>
    <t xml:space="preserve">Presentaciones y contenido</t>
  </si>
  <si>
    <t xml:space="preserve">Foto y video</t>
  </si>
  <si>
    <t xml:space="preserve">Kits de bienvenida y regalos</t>
  </si>
  <si>
    <t xml:space="preserve">Buses y traslados</t>
  </si>
  <si>
    <t xml:space="preserve">Estacionamiento en Aeroparque</t>
  </si>
  <si>
    <t xml:space="preserve">Logística, seguros, permisos y derechos de música</t>
  </si>
  <si>
    <t xml:space="preserve">Atención de prensa</t>
  </si>
  <si>
    <t xml:space="preserve">Subtotal producción</t>
  </si>
  <si>
    <t xml:space="preserve">Fee de agencia (%)</t>
  </si>
  <si>
    <t xml:space="preserve">Fee de agencia ($)</t>
  </si>
  <si>
    <t xml:space="preserve">TOTAL</t>
  </si>
  <si>
    <t xml:space="preserve">Costo por participante</t>
  </si>
  <si>
    <t xml:space="preserve">Diferencia vs. la oferta más baja</t>
  </si>
  <si>
    <t xml:space="preserve">Ranking de precio (1 = más barata)</t>
  </si>
  <si>
    <t xml:space="preserve">Opcionales (no suman al total)</t>
  </si>
  <si>
    <t xml:space="preserve">Valet en Aeroparque</t>
  </si>
  <si>
    <t xml:space="preserve">–</t>
  </si>
  <si>
    <t xml:space="preserve">Otros opcionales propuestos (detallar)</t>
  </si>
  <si>
    <t xml:space="preserve">Evaluación ponderada de propuestas</t>
  </si>
  <si>
    <t xml:space="preserve">Puntaje de 1 (malo) a 5 (excelente) por criterio. Los pesos se pueden ajustar y deben sumar 100%. El precio se puntúa solo: 5 para la oferta más baja y proporcional para el resto.</t>
  </si>
  <si>
    <t xml:space="preserve">Criterio</t>
  </si>
  <si>
    <t xml:space="preserve">Peso</t>
  </si>
  <si>
    <t xml:space="preserve">Propuesta creativa y concepto del show de develación</t>
  </si>
  <si>
    <t xml:space="preserve">Escenografía, técnica y pantallas (escala e impacto)</t>
  </si>
  <si>
    <t xml:space="preserve">Estructura de staff y operación (aeropuertos, traslados, grupos)</t>
  </si>
  <si>
    <t xml:space="preserve">Plataforma de acreditación, registro y check-in</t>
  </si>
  <si>
    <t xml:space="preserve">Antecedentes y experiencia en lanzamientos similares</t>
  </si>
  <si>
    <t xml:space="preserve">Precio</t>
  </si>
  <si>
    <t xml:space="preserve">Suma de pesos (debe ser 100%)</t>
  </si>
  <si>
    <t xml:space="preserve">PUNTAJE PONDERADO (sobre 5)</t>
  </si>
  <si>
    <t xml:space="preserve">Ranking (1 = mejor)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</si>
</sst>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General"/>
    <numFmt numFmtId="166" formatCode="0"/>
    <numFmt numFmtId="167" formatCode="#,##0.0"/>
    <numFmt numFmtId="168" formatCode="0.0%"/>
    <numFmt numFmtId="169" formatCode="&quot;$ &quot;#,##0;&quot;-$ &quot;#,##0;\-"/>
    <numFmt numFmtId="170" formatCode="0%"/>
    <numFmt numFmtId="171" formatCode="0.0"/>
    <numFmt numFmtId="172" formatCode="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1E5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01E50"/>
        <bgColor rgb="FF000080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C00000"/>
        <sz val="1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1E5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6" min="6" style="0" width="48"/>
  </cols>
  <sheetData>
    <row r="1" customFormat="false" ht="17.35" hidden="false" customHeight="fals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  <c r="B3" s="3" t="s">
        <v>2</v>
      </c>
      <c r="C3" s="3"/>
      <c r="D3" s="3"/>
      <c r="E3" s="3"/>
      <c r="F3" s="3"/>
    </row>
    <row r="4" customFormat="false" ht="30" hidden="false" customHeight="true" outlineLevel="0" collapsed="false">
      <c r="A4" s="2" t="s">
        <v>3</v>
      </c>
      <c r="B4" s="3" t="s">
        <v>4</v>
      </c>
      <c r="C4" s="3"/>
      <c r="D4" s="3"/>
      <c r="E4" s="3"/>
      <c r="F4" s="3"/>
    </row>
    <row r="5" customFormat="false" ht="30" hidden="false" customHeight="true" outlineLevel="0" collapsed="false">
      <c r="A5" s="2" t="s">
        <v>5</v>
      </c>
      <c r="B5" s="3" t="s">
        <v>6</v>
      </c>
      <c r="C5" s="3"/>
      <c r="D5" s="3"/>
      <c r="E5" s="3"/>
      <c r="F5" s="3"/>
    </row>
    <row r="6" customFormat="false" ht="30" hidden="false" customHeight="true" outlineLevel="0" collapsed="false">
      <c r="A6" s="2" t="s">
        <v>7</v>
      </c>
      <c r="B6" s="3" t="s">
        <v>8</v>
      </c>
      <c r="C6" s="3"/>
      <c r="D6" s="3"/>
      <c r="E6" s="3"/>
      <c r="F6" s="3"/>
    </row>
    <row r="7" customFormat="false" ht="30" hidden="false" customHeight="true" outlineLevel="0" collapsed="false">
      <c r="A7" s="2" t="s">
        <v>9</v>
      </c>
      <c r="B7" s="3" t="s">
        <v>10</v>
      </c>
      <c r="C7" s="3"/>
      <c r="D7" s="3"/>
      <c r="E7" s="3"/>
      <c r="F7" s="3"/>
    </row>
    <row r="8" customFormat="false" ht="30" hidden="false" customHeight="true" outlineLevel="0" collapsed="false">
      <c r="A8" s="2" t="s">
        <v>11</v>
      </c>
      <c r="B8" s="3" t="s">
        <v>12</v>
      </c>
      <c r="C8" s="3"/>
      <c r="D8" s="3"/>
      <c r="E8" s="3"/>
      <c r="F8" s="3"/>
    </row>
    <row r="9" customFormat="false" ht="30" hidden="false" customHeight="true" outlineLevel="0" collapsed="false">
      <c r="A9" s="2" t="s">
        <v>13</v>
      </c>
      <c r="B9" s="3" t="s">
        <v>14</v>
      </c>
      <c r="C9" s="3"/>
      <c r="D9" s="3"/>
      <c r="E9" s="3"/>
      <c r="F9" s="3"/>
    </row>
    <row r="11" customFormat="false" ht="15" hidden="false" customHeight="false" outlineLevel="0" collapsed="false">
      <c r="A11" s="4" t="s">
        <v>15</v>
      </c>
    </row>
    <row r="12" customFormat="false" ht="15" hidden="false" customHeight="false" outlineLevel="0" collapsed="false">
      <c r="A12" s="5" t="s">
        <v>16</v>
      </c>
      <c r="B12" s="5" t="s">
        <v>17</v>
      </c>
      <c r="C12" s="5" t="s">
        <v>18</v>
      </c>
      <c r="D12" s="5" t="s">
        <v>19</v>
      </c>
    </row>
    <row r="13" customFormat="false" ht="15" hidden="false" customHeight="false" outlineLevel="0" collapsed="false">
      <c r="A13" s="6" t="s">
        <v>20</v>
      </c>
      <c r="B13" s="7" t="s">
        <v>21</v>
      </c>
      <c r="C13" s="7"/>
      <c r="D13" s="8" t="n">
        <v>16</v>
      </c>
    </row>
    <row r="14" customFormat="false" ht="15" hidden="false" customHeight="false" outlineLevel="0" collapsed="false">
      <c r="A14" s="6" t="s">
        <v>22</v>
      </c>
      <c r="B14" s="7" t="s">
        <v>21</v>
      </c>
      <c r="C14" s="7"/>
      <c r="D14" s="8" t="n">
        <v>10</v>
      </c>
    </row>
    <row r="15" customFormat="false" ht="15" hidden="false" customHeight="false" outlineLevel="0" collapsed="false">
      <c r="A15" s="6" t="s">
        <v>23</v>
      </c>
      <c r="B15" s="7" t="s">
        <v>24</v>
      </c>
      <c r="C15" s="7"/>
      <c r="D15" s="9" t="n">
        <f aca="false">D13*D14</f>
        <v>160</v>
      </c>
    </row>
    <row r="16" customFormat="false" ht="15" hidden="false" customHeight="false" outlineLevel="0" collapsed="false">
      <c r="A16" s="6" t="s">
        <v>25</v>
      </c>
      <c r="B16" s="7" t="s">
        <v>24</v>
      </c>
      <c r="C16" s="7"/>
      <c r="D16" s="8" t="n">
        <v>72</v>
      </c>
    </row>
    <row r="17" customFormat="false" ht="15" hidden="false" customHeight="false" outlineLevel="0" collapsed="false">
      <c r="A17" s="6" t="s">
        <v>26</v>
      </c>
      <c r="B17" s="7" t="s">
        <v>27</v>
      </c>
      <c r="C17" s="7" t="s">
        <v>28</v>
      </c>
      <c r="D17" s="8" t="n">
        <v>15</v>
      </c>
    </row>
  </sheetData>
  <mergeCells count="7">
    <mergeCell ref="B3:F3"/>
    <mergeCell ref="B4:F4"/>
    <mergeCell ref="B5:F5"/>
    <mergeCell ref="B6:F6"/>
    <mergeCell ref="B7:F7"/>
    <mergeCell ref="B8:F8"/>
    <mergeCell ref="B9:F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4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2"/>
    <col collapsed="false" customWidth="true" hidden="false" outlineLevel="0" max="3" min="3" style="0" width="11"/>
    <col collapsed="false" customWidth="true" hidden="false" outlineLevel="0" max="8" min="4" style="0" width="18"/>
    <col collapsed="false" customWidth="true" hidden="false" outlineLevel="0" max="9" min="9" style="0" width="36"/>
  </cols>
  <sheetData>
    <row r="1" customFormat="false" ht="17.35" hidden="false" customHeight="false" outlineLevel="0" collapsed="false">
      <c r="A1" s="1" t="s">
        <v>29</v>
      </c>
    </row>
    <row r="2" customFormat="false" ht="15" hidden="false" customHeight="false" outlineLevel="0" collapsed="false">
      <c r="A2" s="10" t="s">
        <v>30</v>
      </c>
    </row>
    <row r="4" customFormat="false" ht="15" hidden="false" customHeight="false" outlineLevel="0" collapsed="false">
      <c r="A4" s="5" t="s">
        <v>31</v>
      </c>
      <c r="B4" s="5" t="s">
        <v>32</v>
      </c>
      <c r="C4" s="5" t="s">
        <v>17</v>
      </c>
      <c r="D4" s="5" t="s">
        <v>18</v>
      </c>
      <c r="E4" s="5" t="s">
        <v>19</v>
      </c>
      <c r="F4" s="5" t="s">
        <v>33</v>
      </c>
      <c r="G4" s="5" t="s">
        <v>34</v>
      </c>
      <c r="H4" s="5" t="s">
        <v>35</v>
      </c>
      <c r="I4" s="5" t="s">
        <v>36</v>
      </c>
    </row>
    <row r="5" customFormat="false" ht="15" hidden="false" customHeight="false" outlineLevel="0" collapsed="false">
      <c r="A5" s="11"/>
      <c r="B5" s="12" t="s">
        <v>37</v>
      </c>
      <c r="C5" s="11"/>
      <c r="D5" s="11"/>
      <c r="E5" s="13"/>
      <c r="F5" s="13"/>
      <c r="G5" s="13"/>
      <c r="H5" s="13"/>
      <c r="I5" s="11"/>
    </row>
    <row r="6" customFormat="false" ht="15" hidden="false" customHeight="false" outlineLevel="0" collapsed="false">
      <c r="A6" s="14" t="s">
        <v>38</v>
      </c>
      <c r="B6" s="14"/>
      <c r="C6" s="14"/>
      <c r="D6" s="14"/>
      <c r="E6" s="14"/>
      <c r="F6" s="14"/>
      <c r="G6" s="14"/>
      <c r="H6" s="14"/>
      <c r="I6" s="14"/>
    </row>
    <row r="7" customFormat="false" ht="15" hidden="false" customHeight="false" outlineLevel="0" collapsed="false">
      <c r="A7" s="7" t="s">
        <v>39</v>
      </c>
      <c r="B7" s="6" t="s">
        <v>40</v>
      </c>
      <c r="C7" s="7" t="s">
        <v>41</v>
      </c>
      <c r="D7" s="7" t="s">
        <v>42</v>
      </c>
      <c r="E7" s="8"/>
      <c r="F7" s="8"/>
      <c r="G7" s="8"/>
      <c r="H7" s="8"/>
      <c r="I7" s="6"/>
    </row>
    <row r="8" customFormat="false" ht="15" hidden="false" customHeight="false" outlineLevel="0" collapsed="false">
      <c r="A8" s="7" t="s">
        <v>39</v>
      </c>
      <c r="B8" s="6" t="s">
        <v>43</v>
      </c>
      <c r="C8" s="7" t="s">
        <v>41</v>
      </c>
      <c r="D8" s="7"/>
      <c r="E8" s="8"/>
      <c r="F8" s="8"/>
      <c r="G8" s="8"/>
      <c r="H8" s="8"/>
      <c r="I8" s="6"/>
    </row>
    <row r="9" customFormat="false" ht="15" hidden="false" customHeight="false" outlineLevel="0" collapsed="false">
      <c r="A9" s="7" t="s">
        <v>39</v>
      </c>
      <c r="B9" s="6" t="s">
        <v>44</v>
      </c>
      <c r="C9" s="7" t="s">
        <v>41</v>
      </c>
      <c r="D9" s="7"/>
      <c r="E9" s="8"/>
      <c r="F9" s="8"/>
      <c r="G9" s="8"/>
      <c r="H9" s="8"/>
      <c r="I9" s="6"/>
    </row>
    <row r="10" customFormat="false" ht="15" hidden="false" customHeight="false" outlineLevel="0" collapsed="false">
      <c r="A10" s="7" t="s">
        <v>39</v>
      </c>
      <c r="B10" s="6" t="s">
        <v>45</v>
      </c>
      <c r="C10" s="7" t="s">
        <v>41</v>
      </c>
      <c r="D10" s="7"/>
      <c r="E10" s="8"/>
      <c r="F10" s="8"/>
      <c r="G10" s="8"/>
      <c r="H10" s="8"/>
      <c r="I10" s="6"/>
    </row>
    <row r="11" customFormat="false" ht="15" hidden="false" customHeight="false" outlineLevel="0" collapsed="false">
      <c r="A11" s="7" t="s">
        <v>39</v>
      </c>
      <c r="B11" s="6" t="s">
        <v>46</v>
      </c>
      <c r="C11" s="7" t="s">
        <v>41</v>
      </c>
      <c r="D11" s="7"/>
      <c r="E11" s="8"/>
      <c r="F11" s="8"/>
      <c r="G11" s="8"/>
      <c r="H11" s="8"/>
      <c r="I11" s="6"/>
    </row>
    <row r="12" customFormat="false" ht="15" hidden="false" customHeight="false" outlineLevel="0" collapsed="false">
      <c r="A12" s="7" t="s">
        <v>39</v>
      </c>
      <c r="B12" s="6" t="s">
        <v>47</v>
      </c>
      <c r="C12" s="7" t="s">
        <v>41</v>
      </c>
      <c r="D12" s="7"/>
      <c r="E12" s="8"/>
      <c r="F12" s="8"/>
      <c r="G12" s="8"/>
      <c r="H12" s="8"/>
      <c r="I12" s="6"/>
    </row>
    <row r="13" customFormat="false" ht="15" hidden="false" customHeight="false" outlineLevel="0" collapsed="false">
      <c r="A13" s="7" t="s">
        <v>48</v>
      </c>
      <c r="B13" s="6" t="s">
        <v>49</v>
      </c>
      <c r="C13" s="7" t="s">
        <v>41</v>
      </c>
      <c r="D13" s="7"/>
      <c r="E13" s="8"/>
      <c r="F13" s="8"/>
      <c r="G13" s="8"/>
      <c r="H13" s="8"/>
      <c r="I13" s="6"/>
    </row>
    <row r="14" customFormat="false" ht="15" hidden="false" customHeight="false" outlineLevel="0" collapsed="false">
      <c r="A14" s="7" t="s">
        <v>39</v>
      </c>
      <c r="B14" s="6" t="s">
        <v>50</v>
      </c>
      <c r="C14" s="7" t="s">
        <v>41</v>
      </c>
      <c r="D14" s="7"/>
      <c r="E14" s="8"/>
      <c r="F14" s="8"/>
      <c r="G14" s="8"/>
      <c r="H14" s="8"/>
      <c r="I14" s="6"/>
    </row>
    <row r="15" customFormat="false" ht="15" hidden="false" customHeight="false" outlineLevel="0" collapsed="false">
      <c r="A15" s="7" t="s">
        <v>51</v>
      </c>
      <c r="B15" s="6" t="s">
        <v>52</v>
      </c>
      <c r="C15" s="7" t="s">
        <v>41</v>
      </c>
      <c r="D15" s="7"/>
      <c r="E15" s="8"/>
      <c r="F15" s="8"/>
      <c r="G15" s="8"/>
      <c r="H15" s="8"/>
      <c r="I15" s="6"/>
    </row>
    <row r="16" customFormat="false" ht="15" hidden="false" customHeight="false" outlineLevel="0" collapsed="false">
      <c r="A16" s="7" t="s">
        <v>53</v>
      </c>
      <c r="B16" s="6" t="s">
        <v>54</v>
      </c>
      <c r="C16" s="7" t="s">
        <v>41</v>
      </c>
      <c r="D16" s="7"/>
      <c r="E16" s="8"/>
      <c r="F16" s="8"/>
      <c r="G16" s="8"/>
      <c r="H16" s="8"/>
      <c r="I16" s="6"/>
    </row>
    <row r="17" customFormat="false" ht="15" hidden="false" customHeight="false" outlineLevel="0" collapsed="false">
      <c r="A17" s="7" t="s">
        <v>53</v>
      </c>
      <c r="B17" s="6" t="s">
        <v>55</v>
      </c>
      <c r="C17" s="7" t="s">
        <v>41</v>
      </c>
      <c r="D17" s="7"/>
      <c r="E17" s="8"/>
      <c r="F17" s="8"/>
      <c r="G17" s="8"/>
      <c r="H17" s="8"/>
      <c r="I17" s="6"/>
    </row>
    <row r="18" customFormat="false" ht="15" hidden="false" customHeight="false" outlineLevel="0" collapsed="false">
      <c r="A18" s="7" t="s">
        <v>39</v>
      </c>
      <c r="B18" s="6" t="s">
        <v>56</v>
      </c>
      <c r="C18" s="7" t="s">
        <v>41</v>
      </c>
      <c r="D18" s="7"/>
      <c r="E18" s="8"/>
      <c r="F18" s="8"/>
      <c r="G18" s="8"/>
      <c r="H18" s="8"/>
      <c r="I18" s="6"/>
    </row>
    <row r="19" customFormat="false" ht="15" hidden="false" customHeight="false" outlineLevel="0" collapsed="false">
      <c r="A19" s="15" t="s">
        <v>39</v>
      </c>
      <c r="B19" s="16" t="s">
        <v>57</v>
      </c>
      <c r="C19" s="15" t="s">
        <v>41</v>
      </c>
      <c r="D19" s="15"/>
      <c r="E19" s="17" t="n">
        <f aca="false">SUM(E7:E18)</f>
        <v>0</v>
      </c>
      <c r="F19" s="17" t="n">
        <f aca="false">SUM(F7:F18)</f>
        <v>0</v>
      </c>
      <c r="G19" s="17" t="n">
        <f aca="false">SUM(G7:G18)</f>
        <v>0</v>
      </c>
      <c r="H19" s="17" t="n">
        <f aca="false">SUM(H7:H18)</f>
        <v>0</v>
      </c>
      <c r="I19" s="6"/>
    </row>
    <row r="20" customFormat="false" ht="15" hidden="false" customHeight="false" outlineLevel="0" collapsed="false">
      <c r="A20" s="7" t="s">
        <v>39</v>
      </c>
      <c r="B20" s="6" t="s">
        <v>58</v>
      </c>
      <c r="C20" s="7" t="s">
        <v>41</v>
      </c>
      <c r="D20" s="7"/>
      <c r="E20" s="8"/>
      <c r="F20" s="8"/>
      <c r="G20" s="8"/>
      <c r="H20" s="8"/>
      <c r="I20" s="6"/>
    </row>
    <row r="21" customFormat="false" ht="15" hidden="false" customHeight="false" outlineLevel="0" collapsed="false">
      <c r="A21" s="7" t="s">
        <v>39</v>
      </c>
      <c r="B21" s="6" t="s">
        <v>59</v>
      </c>
      <c r="C21" s="7" t="s">
        <v>41</v>
      </c>
      <c r="D21" s="7"/>
      <c r="E21" s="8"/>
      <c r="F21" s="8"/>
      <c r="G21" s="8"/>
      <c r="H21" s="8"/>
      <c r="I21" s="6"/>
    </row>
    <row r="22" customFormat="false" ht="15" hidden="false" customHeight="false" outlineLevel="0" collapsed="false">
      <c r="A22" s="7" t="s">
        <v>39</v>
      </c>
      <c r="B22" s="6" t="s">
        <v>60</v>
      </c>
      <c r="C22" s="7" t="s">
        <v>41</v>
      </c>
      <c r="D22" s="7"/>
      <c r="E22" s="8"/>
      <c r="F22" s="8"/>
      <c r="G22" s="8"/>
      <c r="H22" s="8"/>
      <c r="I22" s="6"/>
    </row>
    <row r="23" customFormat="false" ht="15" hidden="false" customHeight="false" outlineLevel="0" collapsed="false">
      <c r="A23" s="7" t="s">
        <v>39</v>
      </c>
      <c r="B23" s="6" t="s">
        <v>61</v>
      </c>
      <c r="C23" s="7" t="s">
        <v>41</v>
      </c>
      <c r="D23" s="7"/>
      <c r="E23" s="8"/>
      <c r="F23" s="8"/>
      <c r="G23" s="8"/>
      <c r="H23" s="8"/>
      <c r="I23" s="6"/>
    </row>
    <row r="24" customFormat="false" ht="15" hidden="false" customHeight="false" outlineLevel="0" collapsed="false">
      <c r="A24" s="7" t="s">
        <v>39</v>
      </c>
      <c r="B24" s="6" t="s">
        <v>62</v>
      </c>
      <c r="C24" s="7" t="s">
        <v>63</v>
      </c>
      <c r="D24" s="7"/>
      <c r="E24" s="8"/>
      <c r="F24" s="8"/>
      <c r="G24" s="8"/>
      <c r="H24" s="8"/>
      <c r="I24" s="6"/>
    </row>
    <row r="25" customFormat="false" ht="15" hidden="false" customHeight="false" outlineLevel="0" collapsed="false">
      <c r="A25" s="14" t="s">
        <v>64</v>
      </c>
      <c r="B25" s="14"/>
      <c r="C25" s="14"/>
      <c r="D25" s="14"/>
      <c r="E25" s="14"/>
      <c r="F25" s="14"/>
      <c r="G25" s="14"/>
      <c r="H25" s="14"/>
      <c r="I25" s="14"/>
    </row>
    <row r="26" customFormat="false" ht="15" hidden="false" customHeight="false" outlineLevel="0" collapsed="false">
      <c r="A26" s="7" t="s">
        <v>65</v>
      </c>
      <c r="B26" s="6" t="s">
        <v>66</v>
      </c>
      <c r="C26" s="7" t="s">
        <v>67</v>
      </c>
      <c r="D26" s="7" t="s">
        <v>68</v>
      </c>
      <c r="E26" s="18"/>
      <c r="F26" s="18"/>
      <c r="G26" s="18"/>
      <c r="H26" s="18"/>
      <c r="I26" s="6"/>
    </row>
    <row r="27" customFormat="false" ht="15" hidden="false" customHeight="false" outlineLevel="0" collapsed="false">
      <c r="A27" s="7" t="s">
        <v>65</v>
      </c>
      <c r="B27" s="6" t="s">
        <v>69</v>
      </c>
      <c r="C27" s="7" t="s">
        <v>67</v>
      </c>
      <c r="D27" s="7"/>
      <c r="E27" s="18"/>
      <c r="F27" s="18"/>
      <c r="G27" s="18"/>
      <c r="H27" s="18"/>
      <c r="I27" s="6"/>
    </row>
    <row r="28" customFormat="false" ht="15" hidden="false" customHeight="false" outlineLevel="0" collapsed="false">
      <c r="A28" s="7" t="s">
        <v>65</v>
      </c>
      <c r="B28" s="6" t="s">
        <v>70</v>
      </c>
      <c r="C28" s="7" t="s">
        <v>71</v>
      </c>
      <c r="D28" s="7" t="s">
        <v>72</v>
      </c>
      <c r="E28" s="8"/>
      <c r="F28" s="8"/>
      <c r="G28" s="8"/>
      <c r="H28" s="8"/>
      <c r="I28" s="6"/>
    </row>
    <row r="29" customFormat="false" ht="15" hidden="false" customHeight="false" outlineLevel="0" collapsed="false">
      <c r="A29" s="7" t="s">
        <v>65</v>
      </c>
      <c r="B29" s="6" t="s">
        <v>73</v>
      </c>
      <c r="C29" s="7" t="s">
        <v>71</v>
      </c>
      <c r="D29" s="7" t="s">
        <v>72</v>
      </c>
      <c r="E29" s="8"/>
      <c r="F29" s="8"/>
      <c r="G29" s="8"/>
      <c r="H29" s="8"/>
      <c r="I29" s="6"/>
    </row>
    <row r="30" customFormat="false" ht="15" hidden="false" customHeight="false" outlineLevel="0" collapsed="false">
      <c r="A30" s="7" t="s">
        <v>65</v>
      </c>
      <c r="B30" s="6" t="s">
        <v>74</v>
      </c>
      <c r="C30" s="7" t="s">
        <v>71</v>
      </c>
      <c r="D30" s="7" t="s">
        <v>72</v>
      </c>
      <c r="E30" s="8"/>
      <c r="F30" s="8"/>
      <c r="G30" s="8"/>
      <c r="H30" s="8"/>
      <c r="I30" s="6"/>
    </row>
    <row r="31" customFormat="false" ht="15" hidden="false" customHeight="false" outlineLevel="0" collapsed="false">
      <c r="A31" s="7" t="s">
        <v>65</v>
      </c>
      <c r="B31" s="6" t="s">
        <v>75</v>
      </c>
      <c r="C31" s="7" t="s">
        <v>76</v>
      </c>
      <c r="D31" s="7"/>
      <c r="E31" s="8"/>
      <c r="F31" s="8"/>
      <c r="G31" s="8"/>
      <c r="H31" s="8"/>
      <c r="I31" s="6"/>
    </row>
    <row r="32" customFormat="false" ht="15" hidden="false" customHeight="false" outlineLevel="0" collapsed="false">
      <c r="A32" s="7" t="s">
        <v>65</v>
      </c>
      <c r="B32" s="6" t="s">
        <v>77</v>
      </c>
      <c r="C32" s="7" t="s">
        <v>27</v>
      </c>
      <c r="D32" s="7"/>
      <c r="E32" s="8"/>
      <c r="F32" s="8"/>
      <c r="G32" s="8"/>
      <c r="H32" s="8"/>
      <c r="I32" s="6"/>
    </row>
    <row r="33" customFormat="false" ht="15" hidden="false" customHeight="false" outlineLevel="0" collapsed="false">
      <c r="A33" s="7" t="s">
        <v>65</v>
      </c>
      <c r="B33" s="6" t="s">
        <v>78</v>
      </c>
      <c r="C33" s="7" t="s">
        <v>71</v>
      </c>
      <c r="D33" s="7" t="s">
        <v>72</v>
      </c>
      <c r="E33" s="8"/>
      <c r="F33" s="8"/>
      <c r="G33" s="8"/>
      <c r="H33" s="8"/>
      <c r="I33" s="6"/>
    </row>
    <row r="34" customFormat="false" ht="15" hidden="false" customHeight="false" outlineLevel="0" collapsed="false">
      <c r="A34" s="14" t="s">
        <v>79</v>
      </c>
      <c r="B34" s="14"/>
      <c r="C34" s="14"/>
      <c r="D34" s="14"/>
      <c r="E34" s="14"/>
      <c r="F34" s="14"/>
      <c r="G34" s="14"/>
      <c r="H34" s="14"/>
      <c r="I34" s="14"/>
    </row>
    <row r="35" customFormat="false" ht="15" hidden="false" customHeight="false" outlineLevel="0" collapsed="false">
      <c r="A35" s="7" t="s">
        <v>80</v>
      </c>
      <c r="B35" s="6" t="s">
        <v>81</v>
      </c>
      <c r="C35" s="7" t="s">
        <v>82</v>
      </c>
      <c r="D35" s="7"/>
      <c r="E35" s="8"/>
      <c r="F35" s="8"/>
      <c r="G35" s="8"/>
      <c r="H35" s="8"/>
      <c r="I35" s="6"/>
    </row>
    <row r="36" customFormat="false" ht="15" hidden="false" customHeight="false" outlineLevel="0" collapsed="false">
      <c r="A36" s="7" t="s">
        <v>80</v>
      </c>
      <c r="B36" s="6" t="s">
        <v>83</v>
      </c>
      <c r="C36" s="7" t="s">
        <v>24</v>
      </c>
      <c r="D36" s="7"/>
      <c r="E36" s="8"/>
      <c r="F36" s="8"/>
      <c r="G36" s="8"/>
      <c r="H36" s="8"/>
      <c r="I36" s="6"/>
    </row>
    <row r="37" customFormat="false" ht="15" hidden="false" customHeight="false" outlineLevel="0" collapsed="false">
      <c r="A37" s="7" t="s">
        <v>80</v>
      </c>
      <c r="B37" s="6" t="s">
        <v>84</v>
      </c>
      <c r="C37" s="7" t="s">
        <v>82</v>
      </c>
      <c r="D37" s="7"/>
      <c r="E37" s="8"/>
      <c r="F37" s="8"/>
      <c r="G37" s="8"/>
      <c r="H37" s="8"/>
      <c r="I37" s="6"/>
    </row>
    <row r="38" customFormat="false" ht="15" hidden="false" customHeight="false" outlineLevel="0" collapsed="false">
      <c r="A38" s="7" t="s">
        <v>80</v>
      </c>
      <c r="B38" s="6" t="s">
        <v>85</v>
      </c>
      <c r="C38" s="7" t="s">
        <v>82</v>
      </c>
      <c r="D38" s="7"/>
      <c r="E38" s="8"/>
      <c r="F38" s="8"/>
      <c r="G38" s="8"/>
      <c r="H38" s="8"/>
      <c r="I38" s="6"/>
    </row>
    <row r="39" customFormat="false" ht="15" hidden="false" customHeight="false" outlineLevel="0" collapsed="false">
      <c r="A39" s="7" t="s">
        <v>80</v>
      </c>
      <c r="B39" s="6" t="s">
        <v>86</v>
      </c>
      <c r="C39" s="7" t="s">
        <v>27</v>
      </c>
      <c r="D39" s="7"/>
      <c r="E39" s="8"/>
      <c r="F39" s="8"/>
      <c r="G39" s="8"/>
      <c r="H39" s="8"/>
      <c r="I39" s="6"/>
    </row>
    <row r="40" customFormat="false" ht="15" hidden="false" customHeight="false" outlineLevel="0" collapsed="false">
      <c r="A40" s="7" t="s">
        <v>80</v>
      </c>
      <c r="B40" s="6" t="s">
        <v>87</v>
      </c>
      <c r="C40" s="7" t="s">
        <v>27</v>
      </c>
      <c r="D40" s="7" t="s">
        <v>88</v>
      </c>
      <c r="E40" s="8"/>
      <c r="F40" s="8"/>
      <c r="G40" s="8"/>
      <c r="H40" s="8"/>
      <c r="I40" s="6"/>
    </row>
    <row r="41" customFormat="false" ht="15" hidden="false" customHeight="false" outlineLevel="0" collapsed="false">
      <c r="A41" s="7" t="s">
        <v>80</v>
      </c>
      <c r="B41" s="6" t="s">
        <v>89</v>
      </c>
      <c r="C41" s="7" t="s">
        <v>27</v>
      </c>
      <c r="D41" s="7" t="s">
        <v>90</v>
      </c>
      <c r="E41" s="8"/>
      <c r="F41" s="8"/>
      <c r="G41" s="8"/>
      <c r="H41" s="8"/>
      <c r="I41" s="6"/>
    </row>
    <row r="42" customFormat="false" ht="15" hidden="false" customHeight="false" outlineLevel="0" collapsed="false">
      <c r="A42" s="14" t="s">
        <v>91</v>
      </c>
      <c r="B42" s="14"/>
      <c r="C42" s="14"/>
      <c r="D42" s="14"/>
      <c r="E42" s="14"/>
      <c r="F42" s="14"/>
      <c r="G42" s="14"/>
      <c r="H42" s="14"/>
      <c r="I42" s="14"/>
    </row>
    <row r="43" customFormat="false" ht="15" hidden="false" customHeight="false" outlineLevel="0" collapsed="false">
      <c r="A43" s="7" t="s">
        <v>92</v>
      </c>
      <c r="B43" s="6" t="s">
        <v>93</v>
      </c>
      <c r="C43" s="7" t="s">
        <v>27</v>
      </c>
      <c r="D43" s="7"/>
      <c r="E43" s="8"/>
      <c r="F43" s="8"/>
      <c r="G43" s="8"/>
      <c r="H43" s="8"/>
      <c r="I43" s="6"/>
    </row>
    <row r="44" customFormat="false" ht="15" hidden="false" customHeight="false" outlineLevel="0" collapsed="false">
      <c r="A44" s="7" t="s">
        <v>92</v>
      </c>
      <c r="B44" s="6" t="s">
        <v>94</v>
      </c>
      <c r="C44" s="7" t="s">
        <v>27</v>
      </c>
      <c r="D44" s="7"/>
      <c r="E44" s="8"/>
      <c r="F44" s="8"/>
      <c r="G44" s="8"/>
      <c r="H44" s="8"/>
      <c r="I44" s="6"/>
    </row>
    <row r="45" customFormat="false" ht="15" hidden="false" customHeight="false" outlineLevel="0" collapsed="false">
      <c r="A45" s="7" t="s">
        <v>92</v>
      </c>
      <c r="B45" s="6" t="s">
        <v>95</v>
      </c>
      <c r="C45" s="7" t="s">
        <v>41</v>
      </c>
      <c r="D45" s="7" t="s">
        <v>96</v>
      </c>
      <c r="E45" s="8"/>
      <c r="F45" s="8"/>
      <c r="G45" s="8"/>
      <c r="H45" s="8"/>
      <c r="I45" s="6"/>
    </row>
    <row r="46" customFormat="false" ht="15" hidden="false" customHeight="false" outlineLevel="0" collapsed="false">
      <c r="A46" s="7" t="s">
        <v>92</v>
      </c>
      <c r="B46" s="6" t="s">
        <v>97</v>
      </c>
      <c r="C46" s="7" t="s">
        <v>71</v>
      </c>
      <c r="D46" s="7" t="s">
        <v>72</v>
      </c>
      <c r="E46" s="8"/>
      <c r="F46" s="8"/>
      <c r="G46" s="8"/>
      <c r="H46" s="8"/>
      <c r="I46" s="6"/>
    </row>
    <row r="47" customFormat="false" ht="15" hidden="false" customHeight="false" outlineLevel="0" collapsed="false">
      <c r="A47" s="14" t="s">
        <v>98</v>
      </c>
      <c r="B47" s="14"/>
      <c r="C47" s="14"/>
      <c r="D47" s="14"/>
      <c r="E47" s="14"/>
      <c r="F47" s="14"/>
      <c r="G47" s="14"/>
      <c r="H47" s="14"/>
      <c r="I47" s="14"/>
    </row>
    <row r="48" customFormat="false" ht="15" hidden="false" customHeight="false" outlineLevel="0" collapsed="false">
      <c r="A48" s="7" t="s">
        <v>99</v>
      </c>
      <c r="B48" s="6" t="s">
        <v>100</v>
      </c>
      <c r="C48" s="7" t="s">
        <v>21</v>
      </c>
      <c r="D48" s="7"/>
      <c r="E48" s="8"/>
      <c r="F48" s="8"/>
      <c r="G48" s="8"/>
      <c r="H48" s="8"/>
      <c r="I48" s="6"/>
    </row>
    <row r="49" customFormat="false" ht="15" hidden="false" customHeight="false" outlineLevel="0" collapsed="false">
      <c r="A49" s="7" t="s">
        <v>99</v>
      </c>
      <c r="B49" s="6" t="s">
        <v>101</v>
      </c>
      <c r="C49" s="7" t="s">
        <v>21</v>
      </c>
      <c r="D49" s="7"/>
      <c r="E49" s="8"/>
      <c r="F49" s="8"/>
      <c r="G49" s="8"/>
      <c r="H49" s="8"/>
      <c r="I49" s="6"/>
    </row>
    <row r="50" customFormat="false" ht="15" hidden="false" customHeight="false" outlineLevel="0" collapsed="false">
      <c r="A50" s="15" t="s">
        <v>99</v>
      </c>
      <c r="B50" s="16" t="s">
        <v>102</v>
      </c>
      <c r="C50" s="15" t="s">
        <v>24</v>
      </c>
      <c r="D50" s="15"/>
      <c r="E50" s="19" t="str">
        <f aca="false">IF(AND(ISNUMBER(E48),ISNUMBER(E49)),E48*E49,"")</f>
        <v/>
      </c>
      <c r="F50" s="19" t="str">
        <f aca="false">IF(AND(ISNUMBER(F48),ISNUMBER(F49)),F48*F49,"")</f>
        <v/>
      </c>
      <c r="G50" s="19" t="str">
        <f aca="false">IF(AND(ISNUMBER(G48),ISNUMBER(G49)),G48*G49,"")</f>
        <v/>
      </c>
      <c r="H50" s="19" t="str">
        <f aca="false">IF(AND(ISNUMBER(H48),ISNUMBER(H49)),H48*H49,"")</f>
        <v/>
      </c>
      <c r="I50" s="6"/>
    </row>
    <row r="51" customFormat="false" ht="15" hidden="false" customHeight="false" outlineLevel="0" collapsed="false">
      <c r="A51" s="7" t="s">
        <v>99</v>
      </c>
      <c r="B51" s="6" t="s">
        <v>103</v>
      </c>
      <c r="C51" s="7" t="s">
        <v>21</v>
      </c>
      <c r="D51" s="7"/>
      <c r="E51" s="8"/>
      <c r="F51" s="8"/>
      <c r="G51" s="8"/>
      <c r="H51" s="8"/>
      <c r="I51" s="6"/>
    </row>
    <row r="52" customFormat="false" ht="15" hidden="false" customHeight="false" outlineLevel="0" collapsed="false">
      <c r="A52" s="7" t="s">
        <v>99</v>
      </c>
      <c r="B52" s="6" t="s">
        <v>104</v>
      </c>
      <c r="C52" s="7" t="s">
        <v>41</v>
      </c>
      <c r="D52" s="7" t="s">
        <v>96</v>
      </c>
      <c r="E52" s="8"/>
      <c r="F52" s="8"/>
      <c r="G52" s="8"/>
      <c r="H52" s="8"/>
      <c r="I52" s="6"/>
    </row>
    <row r="53" customFormat="false" ht="15" hidden="false" customHeight="false" outlineLevel="0" collapsed="false">
      <c r="A53" s="7" t="s">
        <v>99</v>
      </c>
      <c r="B53" s="6" t="s">
        <v>105</v>
      </c>
      <c r="C53" s="7" t="s">
        <v>41</v>
      </c>
      <c r="D53" s="7" t="s">
        <v>96</v>
      </c>
      <c r="E53" s="8"/>
      <c r="F53" s="8"/>
      <c r="G53" s="8"/>
      <c r="H53" s="8"/>
      <c r="I53" s="6"/>
    </row>
    <row r="54" customFormat="false" ht="15" hidden="false" customHeight="false" outlineLevel="0" collapsed="false">
      <c r="A54" s="7" t="s">
        <v>99</v>
      </c>
      <c r="B54" s="6" t="s">
        <v>106</v>
      </c>
      <c r="C54" s="7" t="s">
        <v>107</v>
      </c>
      <c r="D54" s="7"/>
      <c r="E54" s="8"/>
      <c r="F54" s="8"/>
      <c r="G54" s="8"/>
      <c r="H54" s="8"/>
      <c r="I54" s="6"/>
    </row>
    <row r="55" customFormat="false" ht="15" hidden="false" customHeight="false" outlineLevel="0" collapsed="false">
      <c r="A55" s="7" t="s">
        <v>99</v>
      </c>
      <c r="B55" s="6" t="s">
        <v>108</v>
      </c>
      <c r="C55" s="7" t="s">
        <v>109</v>
      </c>
      <c r="D55" s="7"/>
      <c r="E55" s="8"/>
      <c r="F55" s="8"/>
      <c r="G55" s="8"/>
      <c r="H55" s="8"/>
      <c r="I55" s="6"/>
    </row>
    <row r="56" customFormat="false" ht="15" hidden="false" customHeight="false" outlineLevel="0" collapsed="false">
      <c r="A56" s="7" t="s">
        <v>99</v>
      </c>
      <c r="B56" s="6" t="s">
        <v>110</v>
      </c>
      <c r="C56" s="7" t="s">
        <v>67</v>
      </c>
      <c r="D56" s="7"/>
      <c r="E56" s="18"/>
      <c r="F56" s="18"/>
      <c r="G56" s="18"/>
      <c r="H56" s="18"/>
      <c r="I56" s="6"/>
    </row>
    <row r="57" customFormat="false" ht="15" hidden="false" customHeight="false" outlineLevel="0" collapsed="false">
      <c r="A57" s="7" t="s">
        <v>99</v>
      </c>
      <c r="B57" s="6" t="s">
        <v>111</v>
      </c>
      <c r="C57" s="7" t="s">
        <v>71</v>
      </c>
      <c r="D57" s="7" t="s">
        <v>72</v>
      </c>
      <c r="E57" s="8"/>
      <c r="F57" s="8"/>
      <c r="G57" s="8"/>
      <c r="H57" s="8"/>
      <c r="I57" s="6"/>
    </row>
    <row r="58" customFormat="false" ht="15" hidden="false" customHeight="false" outlineLevel="0" collapsed="false">
      <c r="A58" s="7" t="s">
        <v>99</v>
      </c>
      <c r="B58" s="6" t="s">
        <v>20</v>
      </c>
      <c r="C58" s="7" t="s">
        <v>21</v>
      </c>
      <c r="D58" s="7"/>
      <c r="E58" s="8"/>
      <c r="F58" s="8"/>
      <c r="G58" s="8"/>
      <c r="H58" s="8"/>
      <c r="I58" s="6"/>
    </row>
    <row r="59" customFormat="false" ht="15" hidden="false" customHeight="false" outlineLevel="0" collapsed="false">
      <c r="A59" s="7" t="s">
        <v>99</v>
      </c>
      <c r="B59" s="6" t="s">
        <v>22</v>
      </c>
      <c r="C59" s="7" t="s">
        <v>21</v>
      </c>
      <c r="D59" s="7"/>
      <c r="E59" s="8"/>
      <c r="F59" s="8"/>
      <c r="G59" s="8"/>
      <c r="H59" s="8"/>
      <c r="I59" s="6"/>
    </row>
    <row r="60" customFormat="false" ht="15" hidden="false" customHeight="false" outlineLevel="0" collapsed="false">
      <c r="A60" s="15" t="s">
        <v>99</v>
      </c>
      <c r="B60" s="16" t="s">
        <v>23</v>
      </c>
      <c r="C60" s="15" t="s">
        <v>24</v>
      </c>
      <c r="D60" s="15"/>
      <c r="E60" s="19" t="str">
        <f aca="false">IF(AND(ISNUMBER(E58),ISNUMBER(E59)),E58*E59,"")</f>
        <v/>
      </c>
      <c r="F60" s="19" t="str">
        <f aca="false">IF(AND(ISNUMBER(F58),ISNUMBER(F59)),F58*F59,"")</f>
        <v/>
      </c>
      <c r="G60" s="19" t="str">
        <f aca="false">IF(AND(ISNUMBER(G58),ISNUMBER(G59)),G58*G59,"")</f>
        <v/>
      </c>
      <c r="H60" s="19" t="str">
        <f aca="false">IF(AND(ISNUMBER(H58),ISNUMBER(H59)),H58*H59,"")</f>
        <v/>
      </c>
      <c r="I60" s="6"/>
    </row>
    <row r="61" customFormat="false" ht="15" hidden="false" customHeight="false" outlineLevel="0" collapsed="false">
      <c r="A61" s="7" t="s">
        <v>99</v>
      </c>
      <c r="B61" s="6" t="s">
        <v>112</v>
      </c>
      <c r="C61" s="7" t="s">
        <v>21</v>
      </c>
      <c r="D61" s="7"/>
      <c r="E61" s="8"/>
      <c r="F61" s="8"/>
      <c r="G61" s="8"/>
      <c r="H61" s="8"/>
      <c r="I61" s="6"/>
    </row>
    <row r="62" customFormat="false" ht="15" hidden="false" customHeight="false" outlineLevel="0" collapsed="false">
      <c r="A62" s="7" t="s">
        <v>99</v>
      </c>
      <c r="B62" s="6" t="s">
        <v>113</v>
      </c>
      <c r="C62" s="7" t="s">
        <v>21</v>
      </c>
      <c r="D62" s="7"/>
      <c r="E62" s="8"/>
      <c r="F62" s="8"/>
      <c r="G62" s="8"/>
      <c r="H62" s="8"/>
      <c r="I62" s="6"/>
    </row>
    <row r="63" customFormat="false" ht="15" hidden="false" customHeight="false" outlineLevel="0" collapsed="false">
      <c r="A63" s="7" t="s">
        <v>99</v>
      </c>
      <c r="B63" s="6" t="s">
        <v>114</v>
      </c>
      <c r="C63" s="7" t="s">
        <v>107</v>
      </c>
      <c r="D63" s="7" t="s">
        <v>115</v>
      </c>
      <c r="E63" s="8"/>
      <c r="F63" s="8"/>
      <c r="G63" s="8"/>
      <c r="H63" s="8"/>
      <c r="I63" s="6"/>
    </row>
    <row r="64" customFormat="false" ht="15" hidden="false" customHeight="false" outlineLevel="0" collapsed="false">
      <c r="A64" s="7" t="s">
        <v>99</v>
      </c>
      <c r="B64" s="6" t="s">
        <v>116</v>
      </c>
      <c r="C64" s="7" t="s">
        <v>71</v>
      </c>
      <c r="D64" s="7" t="s">
        <v>72</v>
      </c>
      <c r="E64" s="8"/>
      <c r="F64" s="8"/>
      <c r="G64" s="8"/>
      <c r="H64" s="8"/>
      <c r="I64" s="6"/>
    </row>
    <row r="65" customFormat="false" ht="15" hidden="false" customHeight="false" outlineLevel="0" collapsed="false">
      <c r="A65" s="7" t="s">
        <v>99</v>
      </c>
      <c r="B65" s="6" t="s">
        <v>25</v>
      </c>
      <c r="C65" s="7" t="s">
        <v>24</v>
      </c>
      <c r="D65" s="7"/>
      <c r="E65" s="8"/>
      <c r="F65" s="8"/>
      <c r="G65" s="8"/>
      <c r="H65" s="8"/>
      <c r="I65" s="6"/>
    </row>
    <row r="66" customFormat="false" ht="15" hidden="false" customHeight="false" outlineLevel="0" collapsed="false">
      <c r="A66" s="7" t="s">
        <v>99</v>
      </c>
      <c r="B66" s="6" t="s">
        <v>117</v>
      </c>
      <c r="C66" s="7" t="s">
        <v>24</v>
      </c>
      <c r="D66" s="7"/>
      <c r="E66" s="8"/>
      <c r="F66" s="8"/>
      <c r="G66" s="8"/>
      <c r="H66" s="8"/>
      <c r="I66" s="6"/>
    </row>
    <row r="67" customFormat="false" ht="15" hidden="false" customHeight="false" outlineLevel="0" collapsed="false">
      <c r="A67" s="7" t="s">
        <v>99</v>
      </c>
      <c r="B67" s="6" t="s">
        <v>118</v>
      </c>
      <c r="C67" s="7" t="s">
        <v>24</v>
      </c>
      <c r="D67" s="7"/>
      <c r="E67" s="8"/>
      <c r="F67" s="8"/>
      <c r="G67" s="8"/>
      <c r="H67" s="8"/>
      <c r="I67" s="6"/>
    </row>
    <row r="68" customFormat="false" ht="15" hidden="false" customHeight="false" outlineLevel="0" collapsed="false">
      <c r="A68" s="15" t="s">
        <v>99</v>
      </c>
      <c r="B68" s="16" t="s">
        <v>119</v>
      </c>
      <c r="C68" s="15" t="s">
        <v>24</v>
      </c>
      <c r="D68" s="15"/>
      <c r="E68" s="19" t="n">
        <f aca="false">SUM(E65:E67)</f>
        <v>0</v>
      </c>
      <c r="F68" s="19" t="n">
        <f aca="false">SUM(F65:F67)</f>
        <v>0</v>
      </c>
      <c r="G68" s="19" t="n">
        <f aca="false">SUM(G65:G67)</f>
        <v>0</v>
      </c>
      <c r="H68" s="19" t="n">
        <f aca="false">SUM(H65:H67)</f>
        <v>0</v>
      </c>
      <c r="I68" s="6"/>
    </row>
    <row r="69" customFormat="false" ht="15" hidden="false" customHeight="false" outlineLevel="0" collapsed="false">
      <c r="A69" s="7" t="s">
        <v>99</v>
      </c>
      <c r="B69" s="6" t="s">
        <v>120</v>
      </c>
      <c r="C69" s="7" t="s">
        <v>121</v>
      </c>
      <c r="D69" s="7"/>
      <c r="E69" s="8"/>
      <c r="F69" s="8"/>
      <c r="G69" s="8"/>
      <c r="H69" s="8"/>
      <c r="I69" s="6"/>
    </row>
    <row r="70" customFormat="false" ht="15" hidden="false" customHeight="false" outlineLevel="0" collapsed="false">
      <c r="A70" s="7" t="s">
        <v>99</v>
      </c>
      <c r="B70" s="6" t="s">
        <v>122</v>
      </c>
      <c r="C70" s="7" t="s">
        <v>67</v>
      </c>
      <c r="D70" s="7" t="s">
        <v>123</v>
      </c>
      <c r="E70" s="18"/>
      <c r="F70" s="18"/>
      <c r="G70" s="18"/>
      <c r="H70" s="18"/>
      <c r="I70" s="6"/>
    </row>
    <row r="71" customFormat="false" ht="15" hidden="false" customHeight="false" outlineLevel="0" collapsed="false">
      <c r="A71" s="7" t="s">
        <v>99</v>
      </c>
      <c r="B71" s="6" t="s">
        <v>124</v>
      </c>
      <c r="C71" s="7" t="s">
        <v>67</v>
      </c>
      <c r="D71" s="7"/>
      <c r="E71" s="18"/>
      <c r="F71" s="18"/>
      <c r="G71" s="18"/>
      <c r="H71" s="18"/>
      <c r="I71" s="6"/>
    </row>
    <row r="72" customFormat="false" ht="15" hidden="false" customHeight="false" outlineLevel="0" collapsed="false">
      <c r="A72" s="7" t="s">
        <v>99</v>
      </c>
      <c r="B72" s="6" t="s">
        <v>125</v>
      </c>
      <c r="C72" s="7" t="s">
        <v>71</v>
      </c>
      <c r="D72" s="7"/>
      <c r="E72" s="8"/>
      <c r="F72" s="8"/>
      <c r="G72" s="8"/>
      <c r="H72" s="8"/>
      <c r="I72" s="6"/>
    </row>
    <row r="73" customFormat="false" ht="15" hidden="false" customHeight="false" outlineLevel="0" collapsed="false">
      <c r="A73" s="7" t="s">
        <v>99</v>
      </c>
      <c r="B73" s="6" t="s">
        <v>126</v>
      </c>
      <c r="C73" s="7" t="s">
        <v>41</v>
      </c>
      <c r="D73" s="7"/>
      <c r="E73" s="8"/>
      <c r="F73" s="8"/>
      <c r="G73" s="8"/>
      <c r="H73" s="8"/>
      <c r="I73" s="6"/>
    </row>
    <row r="74" customFormat="false" ht="15" hidden="false" customHeight="false" outlineLevel="0" collapsed="false">
      <c r="A74" s="7" t="s">
        <v>99</v>
      </c>
      <c r="B74" s="6" t="s">
        <v>127</v>
      </c>
      <c r="C74" s="7" t="s">
        <v>128</v>
      </c>
      <c r="D74" s="7" t="s">
        <v>96</v>
      </c>
      <c r="E74" s="8"/>
      <c r="F74" s="8"/>
      <c r="G74" s="8"/>
      <c r="H74" s="8"/>
      <c r="I74" s="6"/>
    </row>
    <row r="75" customFormat="false" ht="15" hidden="false" customHeight="false" outlineLevel="0" collapsed="false">
      <c r="A75" s="14" t="s">
        <v>129</v>
      </c>
      <c r="B75" s="14"/>
      <c r="C75" s="14"/>
      <c r="D75" s="14"/>
      <c r="E75" s="14"/>
      <c r="F75" s="14"/>
      <c r="G75" s="14"/>
      <c r="H75" s="14"/>
      <c r="I75" s="14"/>
    </row>
    <row r="76" customFormat="false" ht="15" hidden="false" customHeight="false" outlineLevel="0" collapsed="false">
      <c r="A76" s="7" t="s">
        <v>130</v>
      </c>
      <c r="B76" s="6" t="s">
        <v>131</v>
      </c>
      <c r="C76" s="7" t="s">
        <v>67</v>
      </c>
      <c r="D76" s="7"/>
      <c r="E76" s="18"/>
      <c r="F76" s="18"/>
      <c r="G76" s="18"/>
      <c r="H76" s="18"/>
      <c r="I76" s="6"/>
    </row>
    <row r="77" customFormat="false" ht="15" hidden="false" customHeight="false" outlineLevel="0" collapsed="false">
      <c r="A77" s="7" t="s">
        <v>130</v>
      </c>
      <c r="B77" s="6" t="s">
        <v>132</v>
      </c>
      <c r="C77" s="7" t="s">
        <v>27</v>
      </c>
      <c r="D77" s="7"/>
      <c r="E77" s="8"/>
      <c r="F77" s="8"/>
      <c r="G77" s="8"/>
      <c r="H77" s="8"/>
      <c r="I77" s="6"/>
    </row>
    <row r="78" customFormat="false" ht="15" hidden="false" customHeight="false" outlineLevel="0" collapsed="false">
      <c r="A78" s="7" t="s">
        <v>130</v>
      </c>
      <c r="B78" s="6" t="s">
        <v>133</v>
      </c>
      <c r="C78" s="7" t="s">
        <v>27</v>
      </c>
      <c r="D78" s="7"/>
      <c r="E78" s="8"/>
      <c r="F78" s="8"/>
      <c r="G78" s="8"/>
      <c r="H78" s="8"/>
      <c r="I78" s="6"/>
    </row>
    <row r="79" customFormat="false" ht="15" hidden="false" customHeight="false" outlineLevel="0" collapsed="false">
      <c r="A79" s="7" t="s">
        <v>130</v>
      </c>
      <c r="B79" s="6" t="s">
        <v>134</v>
      </c>
      <c r="C79" s="7" t="s">
        <v>71</v>
      </c>
      <c r="D79" s="7" t="s">
        <v>72</v>
      </c>
      <c r="E79" s="8"/>
      <c r="F79" s="8"/>
      <c r="G79" s="8"/>
      <c r="H79" s="8"/>
      <c r="I79" s="6"/>
    </row>
    <row r="80" customFormat="false" ht="15" hidden="false" customHeight="false" outlineLevel="0" collapsed="false">
      <c r="A80" s="7" t="s">
        <v>130</v>
      </c>
      <c r="B80" s="6" t="s">
        <v>135</v>
      </c>
      <c r="C80" s="7" t="s">
        <v>27</v>
      </c>
      <c r="D80" s="7"/>
      <c r="E80" s="8"/>
      <c r="F80" s="8"/>
      <c r="G80" s="8"/>
      <c r="H80" s="8"/>
      <c r="I80" s="6"/>
    </row>
    <row r="81" customFormat="false" ht="15" hidden="false" customHeight="false" outlineLevel="0" collapsed="false">
      <c r="A81" s="7" t="s">
        <v>130</v>
      </c>
      <c r="B81" s="6" t="s">
        <v>136</v>
      </c>
      <c r="C81" s="7" t="s">
        <v>71</v>
      </c>
      <c r="D81" s="7" t="s">
        <v>72</v>
      </c>
      <c r="E81" s="8"/>
      <c r="F81" s="8"/>
      <c r="G81" s="8"/>
      <c r="H81" s="8"/>
      <c r="I81" s="6"/>
    </row>
    <row r="82" customFormat="false" ht="15" hidden="false" customHeight="false" outlineLevel="0" collapsed="false">
      <c r="A82" s="7" t="s">
        <v>130</v>
      </c>
      <c r="B82" s="6" t="s">
        <v>137</v>
      </c>
      <c r="C82" s="7" t="s">
        <v>41</v>
      </c>
      <c r="D82" s="7"/>
      <c r="E82" s="8"/>
      <c r="F82" s="8"/>
      <c r="G82" s="8"/>
      <c r="H82" s="8"/>
      <c r="I82" s="6"/>
    </row>
    <row r="83" customFormat="false" ht="15" hidden="false" customHeight="false" outlineLevel="0" collapsed="false">
      <c r="A83" s="7" t="s">
        <v>130</v>
      </c>
      <c r="B83" s="6" t="s">
        <v>26</v>
      </c>
      <c r="C83" s="7" t="s">
        <v>27</v>
      </c>
      <c r="D83" s="7" t="s">
        <v>28</v>
      </c>
      <c r="E83" s="8"/>
      <c r="F83" s="8"/>
      <c r="G83" s="8"/>
      <c r="H83" s="8"/>
      <c r="I83" s="6"/>
    </row>
    <row r="84" customFormat="false" ht="15" hidden="false" customHeight="false" outlineLevel="0" collapsed="false">
      <c r="A84" s="7" t="s">
        <v>138</v>
      </c>
      <c r="B84" s="6" t="s">
        <v>139</v>
      </c>
      <c r="C84" s="7" t="s">
        <v>71</v>
      </c>
      <c r="D84" s="7" t="s">
        <v>72</v>
      </c>
      <c r="E84" s="8"/>
      <c r="F84" s="8"/>
      <c r="G84" s="8"/>
      <c r="H84" s="8"/>
      <c r="I84" s="6"/>
    </row>
    <row r="85" customFormat="false" ht="15" hidden="false" customHeight="false" outlineLevel="0" collapsed="false">
      <c r="A85" s="14" t="s">
        <v>140</v>
      </c>
      <c r="B85" s="14"/>
      <c r="C85" s="14"/>
      <c r="D85" s="14"/>
      <c r="E85" s="14"/>
      <c r="F85" s="14"/>
      <c r="G85" s="14"/>
      <c r="H85" s="14"/>
      <c r="I85" s="14"/>
    </row>
    <row r="86" customFormat="false" ht="15" hidden="false" customHeight="false" outlineLevel="0" collapsed="false">
      <c r="A86" s="7" t="s">
        <v>141</v>
      </c>
      <c r="B86" s="6" t="s">
        <v>142</v>
      </c>
      <c r="C86" s="7" t="s">
        <v>143</v>
      </c>
      <c r="D86" s="7"/>
      <c r="E86" s="8"/>
      <c r="F86" s="8"/>
      <c r="G86" s="8"/>
      <c r="H86" s="8"/>
      <c r="I86" s="6"/>
    </row>
    <row r="87" customFormat="false" ht="15" hidden="false" customHeight="false" outlineLevel="0" collapsed="false">
      <c r="A87" s="7" t="s">
        <v>141</v>
      </c>
      <c r="B87" s="6" t="s">
        <v>144</v>
      </c>
      <c r="C87" s="7" t="s">
        <v>143</v>
      </c>
      <c r="D87" s="7"/>
      <c r="E87" s="8"/>
      <c r="F87" s="8"/>
      <c r="G87" s="8"/>
      <c r="H87" s="8"/>
      <c r="I87" s="6"/>
    </row>
    <row r="88" customFormat="false" ht="15" hidden="false" customHeight="false" outlineLevel="0" collapsed="false">
      <c r="A88" s="7" t="s">
        <v>141</v>
      </c>
      <c r="B88" s="6" t="s">
        <v>145</v>
      </c>
      <c r="C88" s="7" t="s">
        <v>71</v>
      </c>
      <c r="D88" s="7" t="s">
        <v>72</v>
      </c>
      <c r="E88" s="8"/>
      <c r="F88" s="8"/>
      <c r="G88" s="8"/>
      <c r="H88" s="8"/>
      <c r="I88" s="6"/>
    </row>
    <row r="89" customFormat="false" ht="15" hidden="false" customHeight="false" outlineLevel="0" collapsed="false">
      <c r="A89" s="7" t="s">
        <v>141</v>
      </c>
      <c r="B89" s="6" t="s">
        <v>146</v>
      </c>
      <c r="C89" s="7" t="s">
        <v>27</v>
      </c>
      <c r="D89" s="7"/>
      <c r="E89" s="8"/>
      <c r="F89" s="8"/>
      <c r="G89" s="8"/>
      <c r="H89" s="8"/>
      <c r="I89" s="6"/>
    </row>
    <row r="90" customFormat="false" ht="15" hidden="false" customHeight="false" outlineLevel="0" collapsed="false">
      <c r="A90" s="7" t="s">
        <v>141</v>
      </c>
      <c r="B90" s="6" t="s">
        <v>147</v>
      </c>
      <c r="C90" s="7" t="s">
        <v>148</v>
      </c>
      <c r="D90" s="7"/>
      <c r="E90" s="8"/>
      <c r="F90" s="8"/>
      <c r="G90" s="8"/>
      <c r="H90" s="8"/>
      <c r="I90" s="6"/>
    </row>
    <row r="91" customFormat="false" ht="15" hidden="false" customHeight="false" outlineLevel="0" collapsed="false">
      <c r="A91" s="7" t="s">
        <v>141</v>
      </c>
      <c r="B91" s="6" t="s">
        <v>149</v>
      </c>
      <c r="C91" s="7" t="s">
        <v>24</v>
      </c>
      <c r="D91" s="7"/>
      <c r="E91" s="8"/>
      <c r="F91" s="8"/>
      <c r="G91" s="8"/>
      <c r="H91" s="8"/>
      <c r="I91" s="6"/>
    </row>
    <row r="92" customFormat="false" ht="15" hidden="false" customHeight="false" outlineLevel="0" collapsed="false">
      <c r="A92" s="7" t="s">
        <v>141</v>
      </c>
      <c r="B92" s="6" t="s">
        <v>150</v>
      </c>
      <c r="C92" s="7" t="s">
        <v>151</v>
      </c>
      <c r="D92" s="7"/>
      <c r="E92" s="8"/>
      <c r="F92" s="8"/>
      <c r="G92" s="8"/>
      <c r="H92" s="8"/>
      <c r="I92" s="6"/>
    </row>
    <row r="93" customFormat="false" ht="15" hidden="false" customHeight="false" outlineLevel="0" collapsed="false">
      <c r="A93" s="7" t="s">
        <v>141</v>
      </c>
      <c r="B93" s="6" t="s">
        <v>152</v>
      </c>
      <c r="C93" s="7" t="s">
        <v>27</v>
      </c>
      <c r="D93" s="7"/>
      <c r="E93" s="8"/>
      <c r="F93" s="8"/>
      <c r="G93" s="8"/>
      <c r="H93" s="8"/>
      <c r="I93" s="6"/>
    </row>
    <row r="94" customFormat="false" ht="15" hidden="false" customHeight="false" outlineLevel="0" collapsed="false">
      <c r="A94" s="7" t="s">
        <v>141</v>
      </c>
      <c r="B94" s="6" t="s">
        <v>153</v>
      </c>
      <c r="C94" s="7" t="s">
        <v>27</v>
      </c>
      <c r="D94" s="7"/>
      <c r="E94" s="8"/>
      <c r="F94" s="8"/>
      <c r="G94" s="8"/>
      <c r="H94" s="8"/>
      <c r="I94" s="6"/>
    </row>
    <row r="95" customFormat="false" ht="15" hidden="false" customHeight="false" outlineLevel="0" collapsed="false">
      <c r="A95" s="7" t="s">
        <v>141</v>
      </c>
      <c r="B95" s="6" t="s">
        <v>154</v>
      </c>
      <c r="C95" s="7" t="s">
        <v>155</v>
      </c>
      <c r="D95" s="7"/>
      <c r="E95" s="8"/>
      <c r="F95" s="8"/>
      <c r="G95" s="8"/>
      <c r="H95" s="8"/>
      <c r="I95" s="6"/>
    </row>
    <row r="96" customFormat="false" ht="15" hidden="false" customHeight="false" outlineLevel="0" collapsed="false">
      <c r="A96" s="7" t="s">
        <v>141</v>
      </c>
      <c r="B96" s="6" t="s">
        <v>156</v>
      </c>
      <c r="C96" s="7" t="s">
        <v>71</v>
      </c>
      <c r="D96" s="7" t="s">
        <v>72</v>
      </c>
      <c r="E96" s="8"/>
      <c r="F96" s="8"/>
      <c r="G96" s="8"/>
      <c r="H96" s="8"/>
      <c r="I96" s="6"/>
    </row>
    <row r="97" customFormat="false" ht="15" hidden="false" customHeight="false" outlineLevel="0" collapsed="false">
      <c r="A97" s="7" t="s">
        <v>141</v>
      </c>
      <c r="B97" s="6" t="s">
        <v>157</v>
      </c>
      <c r="C97" s="7" t="s">
        <v>158</v>
      </c>
      <c r="D97" s="7"/>
      <c r="E97" s="8"/>
      <c r="F97" s="8"/>
      <c r="G97" s="8"/>
      <c r="H97" s="8"/>
      <c r="I97" s="6"/>
    </row>
    <row r="98" customFormat="false" ht="15" hidden="false" customHeight="false" outlineLevel="0" collapsed="false">
      <c r="A98" s="7" t="s">
        <v>141</v>
      </c>
      <c r="B98" s="6" t="s">
        <v>159</v>
      </c>
      <c r="C98" s="7" t="s">
        <v>160</v>
      </c>
      <c r="D98" s="7"/>
      <c r="E98" s="8"/>
      <c r="F98" s="8"/>
      <c r="G98" s="8"/>
      <c r="H98" s="8"/>
      <c r="I98" s="6"/>
    </row>
    <row r="99" customFormat="false" ht="15" hidden="false" customHeight="false" outlineLevel="0" collapsed="false">
      <c r="A99" s="7" t="s">
        <v>141</v>
      </c>
      <c r="B99" s="6" t="s">
        <v>161</v>
      </c>
      <c r="C99" s="7" t="s">
        <v>67</v>
      </c>
      <c r="D99" s="7"/>
      <c r="E99" s="18"/>
      <c r="F99" s="18"/>
      <c r="G99" s="18"/>
      <c r="H99" s="18"/>
      <c r="I99" s="6"/>
    </row>
    <row r="100" customFormat="false" ht="15" hidden="false" customHeight="false" outlineLevel="0" collapsed="false">
      <c r="A100" s="7" t="s">
        <v>141</v>
      </c>
      <c r="B100" s="6" t="s">
        <v>162</v>
      </c>
      <c r="C100" s="7" t="s">
        <v>163</v>
      </c>
      <c r="D100" s="7"/>
      <c r="E100" s="8"/>
      <c r="F100" s="8"/>
      <c r="G100" s="8"/>
      <c r="H100" s="8"/>
      <c r="I100" s="6"/>
    </row>
    <row r="101" customFormat="false" ht="15" hidden="false" customHeight="false" outlineLevel="0" collapsed="false">
      <c r="A101" s="14" t="s">
        <v>164</v>
      </c>
      <c r="B101" s="14"/>
      <c r="C101" s="14"/>
      <c r="D101" s="14"/>
      <c r="E101" s="14"/>
      <c r="F101" s="14"/>
      <c r="G101" s="14"/>
      <c r="H101" s="14"/>
      <c r="I101" s="14"/>
    </row>
    <row r="102" customFormat="false" ht="15" hidden="false" customHeight="false" outlineLevel="0" collapsed="false">
      <c r="A102" s="7" t="s">
        <v>165</v>
      </c>
      <c r="B102" s="6" t="s">
        <v>166</v>
      </c>
      <c r="C102" s="7" t="s">
        <v>27</v>
      </c>
      <c r="D102" s="7" t="s">
        <v>167</v>
      </c>
      <c r="E102" s="8"/>
      <c r="F102" s="8"/>
      <c r="G102" s="8"/>
      <c r="H102" s="8"/>
      <c r="I102" s="6"/>
    </row>
    <row r="103" customFormat="false" ht="15" hidden="false" customHeight="false" outlineLevel="0" collapsed="false">
      <c r="A103" s="7" t="s">
        <v>165</v>
      </c>
      <c r="B103" s="6" t="s">
        <v>168</v>
      </c>
      <c r="C103" s="7" t="s">
        <v>27</v>
      </c>
      <c r="D103" s="7"/>
      <c r="E103" s="8"/>
      <c r="F103" s="8"/>
      <c r="G103" s="8"/>
      <c r="H103" s="8"/>
      <c r="I103" s="6"/>
    </row>
    <row r="104" customFormat="false" ht="15" hidden="false" customHeight="false" outlineLevel="0" collapsed="false">
      <c r="A104" s="7" t="s">
        <v>165</v>
      </c>
      <c r="B104" s="6" t="s">
        <v>169</v>
      </c>
      <c r="C104" s="7" t="s">
        <v>27</v>
      </c>
      <c r="D104" s="7" t="s">
        <v>167</v>
      </c>
      <c r="E104" s="8"/>
      <c r="F104" s="8"/>
      <c r="G104" s="8"/>
      <c r="H104" s="8"/>
      <c r="I104" s="6"/>
    </row>
    <row r="105" customFormat="false" ht="15" hidden="false" customHeight="false" outlineLevel="0" collapsed="false">
      <c r="A105" s="7" t="s">
        <v>170</v>
      </c>
      <c r="B105" s="6" t="s">
        <v>171</v>
      </c>
      <c r="C105" s="7" t="s">
        <v>41</v>
      </c>
      <c r="D105" s="7"/>
      <c r="E105" s="8"/>
      <c r="F105" s="8"/>
      <c r="G105" s="8"/>
      <c r="H105" s="8"/>
      <c r="I105" s="6"/>
    </row>
    <row r="106" customFormat="false" ht="15" hidden="false" customHeight="false" outlineLevel="0" collapsed="false">
      <c r="A106" s="14" t="s">
        <v>172</v>
      </c>
      <c r="B106" s="14"/>
      <c r="C106" s="14"/>
      <c r="D106" s="14"/>
      <c r="E106" s="14"/>
      <c r="F106" s="14"/>
      <c r="G106" s="14"/>
      <c r="H106" s="14"/>
      <c r="I106" s="14"/>
    </row>
    <row r="107" customFormat="false" ht="15" hidden="false" customHeight="false" outlineLevel="0" collapsed="false">
      <c r="A107" s="7" t="s">
        <v>173</v>
      </c>
      <c r="B107" s="6" t="s">
        <v>174</v>
      </c>
      <c r="C107" s="7" t="s">
        <v>175</v>
      </c>
      <c r="D107" s="7" t="s">
        <v>176</v>
      </c>
      <c r="E107" s="8"/>
      <c r="F107" s="8"/>
      <c r="G107" s="8"/>
      <c r="H107" s="8"/>
      <c r="I107" s="6"/>
    </row>
    <row r="108" customFormat="false" ht="15" hidden="false" customHeight="false" outlineLevel="0" collapsed="false">
      <c r="A108" s="7" t="s">
        <v>173</v>
      </c>
      <c r="B108" s="6" t="s">
        <v>177</v>
      </c>
      <c r="C108" s="7" t="s">
        <v>82</v>
      </c>
      <c r="D108" s="7"/>
      <c r="E108" s="8"/>
      <c r="F108" s="8"/>
      <c r="G108" s="8"/>
      <c r="H108" s="8"/>
      <c r="I108" s="6"/>
    </row>
    <row r="109" customFormat="false" ht="15" hidden="false" customHeight="false" outlineLevel="0" collapsed="false">
      <c r="A109" s="7" t="s">
        <v>178</v>
      </c>
      <c r="B109" s="6" t="s">
        <v>179</v>
      </c>
      <c r="C109" s="7" t="s">
        <v>41</v>
      </c>
      <c r="D109" s="7"/>
      <c r="E109" s="8"/>
      <c r="F109" s="8"/>
      <c r="G109" s="8"/>
      <c r="H109" s="8"/>
      <c r="I109" s="6"/>
    </row>
    <row r="110" customFormat="false" ht="15" hidden="false" customHeight="false" outlineLevel="0" collapsed="false">
      <c r="A110" s="7" t="s">
        <v>178</v>
      </c>
      <c r="B110" s="6" t="s">
        <v>180</v>
      </c>
      <c r="C110" s="7" t="s">
        <v>41</v>
      </c>
      <c r="D110" s="7"/>
      <c r="E110" s="8"/>
      <c r="F110" s="8"/>
      <c r="G110" s="8"/>
      <c r="H110" s="8"/>
      <c r="I110" s="6"/>
    </row>
    <row r="111" customFormat="false" ht="15" hidden="false" customHeight="false" outlineLevel="0" collapsed="false">
      <c r="A111" s="7" t="s">
        <v>178</v>
      </c>
      <c r="B111" s="6" t="s">
        <v>181</v>
      </c>
      <c r="C111" s="7" t="s">
        <v>71</v>
      </c>
      <c r="D111" s="7"/>
      <c r="E111" s="8"/>
      <c r="F111" s="8"/>
      <c r="G111" s="8"/>
      <c r="H111" s="8"/>
      <c r="I111" s="6"/>
    </row>
    <row r="112" customFormat="false" ht="15" hidden="false" customHeight="false" outlineLevel="0" collapsed="false">
      <c r="A112" s="7" t="s">
        <v>178</v>
      </c>
      <c r="B112" s="6" t="s">
        <v>182</v>
      </c>
      <c r="C112" s="7" t="s">
        <v>183</v>
      </c>
      <c r="D112" s="7"/>
      <c r="E112" s="8"/>
      <c r="F112" s="8"/>
      <c r="G112" s="8"/>
      <c r="H112" s="8"/>
      <c r="I112" s="6"/>
    </row>
    <row r="113" customFormat="false" ht="15" hidden="false" customHeight="false" outlineLevel="0" collapsed="false">
      <c r="A113" s="7" t="s">
        <v>178</v>
      </c>
      <c r="B113" s="6" t="s">
        <v>184</v>
      </c>
      <c r="C113" s="7" t="s">
        <v>155</v>
      </c>
      <c r="D113" s="7"/>
      <c r="E113" s="8"/>
      <c r="F113" s="8"/>
      <c r="G113" s="8"/>
      <c r="H113" s="8"/>
      <c r="I113" s="6"/>
    </row>
    <row r="114" customFormat="false" ht="15" hidden="false" customHeight="false" outlineLevel="0" collapsed="false">
      <c r="A114" s="7" t="s">
        <v>178</v>
      </c>
      <c r="B114" s="6" t="s">
        <v>185</v>
      </c>
      <c r="C114" s="7" t="s">
        <v>186</v>
      </c>
      <c r="D114" s="7" t="s">
        <v>88</v>
      </c>
      <c r="E114" s="8"/>
      <c r="F114" s="8"/>
      <c r="G114" s="8"/>
      <c r="H114" s="8"/>
      <c r="I114" s="6"/>
    </row>
    <row r="115" customFormat="false" ht="15" hidden="false" customHeight="false" outlineLevel="0" collapsed="false">
      <c r="A115" s="14" t="s">
        <v>187</v>
      </c>
      <c r="B115" s="14"/>
      <c r="C115" s="14"/>
      <c r="D115" s="14"/>
      <c r="E115" s="14"/>
      <c r="F115" s="14"/>
      <c r="G115" s="14"/>
      <c r="H115" s="14"/>
      <c r="I115" s="14"/>
    </row>
    <row r="116" customFormat="false" ht="15" hidden="false" customHeight="false" outlineLevel="0" collapsed="false">
      <c r="A116" s="7" t="s">
        <v>188</v>
      </c>
      <c r="B116" s="6" t="s">
        <v>189</v>
      </c>
      <c r="C116" s="7" t="s">
        <v>27</v>
      </c>
      <c r="D116" s="7" t="s">
        <v>96</v>
      </c>
      <c r="E116" s="8"/>
      <c r="F116" s="8"/>
      <c r="G116" s="8"/>
      <c r="H116" s="8"/>
      <c r="I116" s="6"/>
    </row>
    <row r="117" customFormat="false" ht="15" hidden="false" customHeight="false" outlineLevel="0" collapsed="false">
      <c r="A117" s="7" t="s">
        <v>188</v>
      </c>
      <c r="B117" s="6" t="s">
        <v>190</v>
      </c>
      <c r="C117" s="7" t="s">
        <v>67</v>
      </c>
      <c r="D117" s="7"/>
      <c r="E117" s="18"/>
      <c r="F117" s="18"/>
      <c r="G117" s="18"/>
      <c r="H117" s="18"/>
      <c r="I117" s="6"/>
    </row>
    <row r="118" customFormat="false" ht="15" hidden="false" customHeight="false" outlineLevel="0" collapsed="false">
      <c r="A118" s="7" t="s">
        <v>188</v>
      </c>
      <c r="B118" s="6" t="s">
        <v>191</v>
      </c>
      <c r="C118" s="7" t="s">
        <v>27</v>
      </c>
      <c r="D118" s="7" t="s">
        <v>192</v>
      </c>
      <c r="E118" s="8"/>
      <c r="F118" s="8"/>
      <c r="G118" s="8"/>
      <c r="H118" s="8"/>
      <c r="I118" s="6"/>
    </row>
    <row r="119" customFormat="false" ht="15" hidden="false" customHeight="false" outlineLevel="0" collapsed="false">
      <c r="A119" s="7" t="s">
        <v>188</v>
      </c>
      <c r="B119" s="6" t="s">
        <v>193</v>
      </c>
      <c r="C119" s="7" t="s">
        <v>67</v>
      </c>
      <c r="D119" s="7"/>
      <c r="E119" s="18"/>
      <c r="F119" s="18"/>
      <c r="G119" s="18"/>
      <c r="H119" s="18"/>
      <c r="I119" s="6"/>
    </row>
    <row r="120" customFormat="false" ht="15" hidden="false" customHeight="false" outlineLevel="0" collapsed="false">
      <c r="A120" s="7" t="s">
        <v>188</v>
      </c>
      <c r="B120" s="6" t="s">
        <v>194</v>
      </c>
      <c r="C120" s="7" t="s">
        <v>27</v>
      </c>
      <c r="D120" s="7" t="s">
        <v>192</v>
      </c>
      <c r="E120" s="8"/>
      <c r="F120" s="8"/>
      <c r="G120" s="8"/>
      <c r="H120" s="8"/>
      <c r="I120" s="6"/>
    </row>
    <row r="121" customFormat="false" ht="15" hidden="false" customHeight="false" outlineLevel="0" collapsed="false">
      <c r="A121" s="14" t="s">
        <v>195</v>
      </c>
      <c r="B121" s="14"/>
      <c r="C121" s="14"/>
      <c r="D121" s="14"/>
      <c r="E121" s="14"/>
      <c r="F121" s="14"/>
      <c r="G121" s="14"/>
      <c r="H121" s="14"/>
      <c r="I121" s="14"/>
    </row>
    <row r="122" customFormat="false" ht="15" hidden="false" customHeight="false" outlineLevel="0" collapsed="false">
      <c r="A122" s="7" t="s">
        <v>196</v>
      </c>
      <c r="B122" s="6" t="s">
        <v>197</v>
      </c>
      <c r="C122" s="7" t="s">
        <v>27</v>
      </c>
      <c r="D122" s="7"/>
      <c r="E122" s="8"/>
      <c r="F122" s="8"/>
      <c r="G122" s="8"/>
      <c r="H122" s="8"/>
      <c r="I122" s="6"/>
    </row>
    <row r="123" customFormat="false" ht="15" hidden="false" customHeight="false" outlineLevel="0" collapsed="false">
      <c r="A123" s="7" t="s">
        <v>196</v>
      </c>
      <c r="B123" s="6" t="s">
        <v>198</v>
      </c>
      <c r="C123" s="7" t="s">
        <v>199</v>
      </c>
      <c r="D123" s="7"/>
      <c r="E123" s="8"/>
      <c r="F123" s="8"/>
      <c r="G123" s="8"/>
      <c r="H123" s="8"/>
      <c r="I123" s="6"/>
    </row>
    <row r="124" customFormat="false" ht="15" hidden="false" customHeight="false" outlineLevel="0" collapsed="false">
      <c r="A124" s="7" t="s">
        <v>196</v>
      </c>
      <c r="B124" s="6" t="s">
        <v>200</v>
      </c>
      <c r="C124" s="7" t="s">
        <v>201</v>
      </c>
      <c r="D124" s="7"/>
      <c r="E124" s="8"/>
      <c r="F124" s="8"/>
      <c r="G124" s="8"/>
      <c r="H124" s="8"/>
      <c r="I124" s="6"/>
    </row>
    <row r="125" customFormat="false" ht="15" hidden="false" customHeight="false" outlineLevel="0" collapsed="false">
      <c r="A125" s="7" t="s">
        <v>196</v>
      </c>
      <c r="B125" s="6" t="s">
        <v>202</v>
      </c>
      <c r="C125" s="7" t="s">
        <v>27</v>
      </c>
      <c r="D125" s="7"/>
      <c r="E125" s="8"/>
      <c r="F125" s="8"/>
      <c r="G125" s="8"/>
      <c r="H125" s="8"/>
      <c r="I125" s="6"/>
    </row>
    <row r="126" customFormat="false" ht="15" hidden="false" customHeight="false" outlineLevel="0" collapsed="false">
      <c r="A126" s="7" t="s">
        <v>196</v>
      </c>
      <c r="B126" s="6" t="s">
        <v>203</v>
      </c>
      <c r="C126" s="7" t="s">
        <v>41</v>
      </c>
      <c r="D126" s="7"/>
      <c r="E126" s="8"/>
      <c r="F126" s="8"/>
      <c r="G126" s="8"/>
      <c r="H126" s="8"/>
      <c r="I126" s="6"/>
    </row>
    <row r="127" customFormat="false" ht="15" hidden="false" customHeight="false" outlineLevel="0" collapsed="false">
      <c r="A127" s="7" t="s">
        <v>204</v>
      </c>
      <c r="B127" s="6" t="s">
        <v>205</v>
      </c>
      <c r="C127" s="7" t="s">
        <v>206</v>
      </c>
      <c r="D127" s="7" t="s">
        <v>207</v>
      </c>
      <c r="E127" s="8"/>
      <c r="F127" s="8"/>
      <c r="G127" s="8"/>
      <c r="H127" s="8"/>
      <c r="I127" s="6"/>
    </row>
    <row r="128" customFormat="false" ht="15" hidden="false" customHeight="false" outlineLevel="0" collapsed="false">
      <c r="A128" s="7" t="s">
        <v>204</v>
      </c>
      <c r="B128" s="6" t="s">
        <v>208</v>
      </c>
      <c r="C128" s="7" t="s">
        <v>71</v>
      </c>
      <c r="D128" s="7" t="s">
        <v>209</v>
      </c>
      <c r="E128" s="8"/>
      <c r="F128" s="8"/>
      <c r="G128" s="8"/>
      <c r="H128" s="8"/>
      <c r="I128" s="6"/>
    </row>
    <row r="129" customFormat="false" ht="15" hidden="false" customHeight="false" outlineLevel="0" collapsed="false">
      <c r="A129" s="14" t="s">
        <v>210</v>
      </c>
      <c r="B129" s="14"/>
      <c r="C129" s="14"/>
      <c r="D129" s="14"/>
      <c r="E129" s="14"/>
      <c r="F129" s="14"/>
      <c r="G129" s="14"/>
      <c r="H129" s="14"/>
      <c r="I129" s="14"/>
    </row>
    <row r="130" customFormat="false" ht="15" hidden="false" customHeight="false" outlineLevel="0" collapsed="false">
      <c r="A130" s="7" t="s">
        <v>53</v>
      </c>
      <c r="B130" s="6" t="s">
        <v>211</v>
      </c>
      <c r="C130" s="7" t="s">
        <v>27</v>
      </c>
      <c r="D130" s="7"/>
      <c r="E130" s="8"/>
      <c r="F130" s="8"/>
      <c r="G130" s="8"/>
      <c r="H130" s="8"/>
      <c r="I130" s="6"/>
    </row>
    <row r="131" customFormat="false" ht="15" hidden="false" customHeight="false" outlineLevel="0" collapsed="false">
      <c r="A131" s="7" t="s">
        <v>53</v>
      </c>
      <c r="B131" s="6" t="s">
        <v>212</v>
      </c>
      <c r="C131" s="7" t="s">
        <v>71</v>
      </c>
      <c r="D131" s="7" t="s">
        <v>72</v>
      </c>
      <c r="E131" s="8"/>
      <c r="F131" s="8"/>
      <c r="G131" s="8"/>
      <c r="H131" s="8"/>
      <c r="I131" s="6"/>
    </row>
    <row r="132" customFormat="false" ht="15" hidden="false" customHeight="false" outlineLevel="0" collapsed="false">
      <c r="A132" s="7" t="s">
        <v>53</v>
      </c>
      <c r="B132" s="6" t="s">
        <v>213</v>
      </c>
      <c r="C132" s="7" t="s">
        <v>214</v>
      </c>
      <c r="D132" s="7"/>
      <c r="E132" s="8"/>
      <c r="F132" s="8"/>
      <c r="G132" s="8"/>
      <c r="H132" s="8"/>
      <c r="I132" s="6"/>
    </row>
    <row r="133" customFormat="false" ht="15" hidden="false" customHeight="false" outlineLevel="0" collapsed="false">
      <c r="A133" s="7" t="s">
        <v>53</v>
      </c>
      <c r="B133" s="6" t="s">
        <v>215</v>
      </c>
      <c r="C133" s="7" t="s">
        <v>216</v>
      </c>
      <c r="D133" s="7"/>
      <c r="E133" s="8"/>
      <c r="F133" s="8"/>
      <c r="G133" s="8"/>
      <c r="H133" s="8"/>
      <c r="I133" s="6"/>
    </row>
    <row r="134" customFormat="false" ht="15" hidden="false" customHeight="false" outlineLevel="0" collapsed="false">
      <c r="A134" s="7" t="s">
        <v>217</v>
      </c>
      <c r="B134" s="6" t="s">
        <v>218</v>
      </c>
      <c r="C134" s="7" t="s">
        <v>27</v>
      </c>
      <c r="D134" s="7"/>
      <c r="E134" s="8"/>
      <c r="F134" s="8"/>
      <c r="G134" s="8"/>
      <c r="H134" s="8"/>
      <c r="I134" s="6"/>
    </row>
    <row r="135" customFormat="false" ht="15" hidden="false" customHeight="false" outlineLevel="0" collapsed="false">
      <c r="A135" s="7" t="s">
        <v>217</v>
      </c>
      <c r="B135" s="6" t="s">
        <v>219</v>
      </c>
      <c r="C135" s="7" t="s">
        <v>71</v>
      </c>
      <c r="D135" s="7" t="s">
        <v>72</v>
      </c>
      <c r="E135" s="8"/>
      <c r="F135" s="8"/>
      <c r="G135" s="8"/>
      <c r="H135" s="8"/>
      <c r="I135" s="6"/>
    </row>
    <row r="136" customFormat="false" ht="15" hidden="false" customHeight="false" outlineLevel="0" collapsed="false">
      <c r="A136" s="14" t="s">
        <v>220</v>
      </c>
      <c r="B136" s="14"/>
      <c r="C136" s="14"/>
      <c r="D136" s="14"/>
      <c r="E136" s="14"/>
      <c r="F136" s="14"/>
      <c r="G136" s="14"/>
      <c r="H136" s="14"/>
      <c r="I136" s="14"/>
    </row>
    <row r="137" customFormat="false" ht="15" hidden="false" customHeight="false" outlineLevel="0" collapsed="false">
      <c r="A137" s="7" t="s">
        <v>221</v>
      </c>
      <c r="B137" s="6" t="s">
        <v>222</v>
      </c>
      <c r="C137" s="7" t="s">
        <v>223</v>
      </c>
      <c r="D137" s="7"/>
      <c r="E137" s="20"/>
      <c r="F137" s="20"/>
      <c r="G137" s="20"/>
      <c r="H137" s="20"/>
      <c r="I137" s="6"/>
    </row>
    <row r="138" customFormat="false" ht="15" hidden="false" customHeight="false" outlineLevel="0" collapsed="false">
      <c r="A138" s="7" t="s">
        <v>221</v>
      </c>
      <c r="B138" s="6" t="s">
        <v>224</v>
      </c>
      <c r="C138" s="7" t="s">
        <v>186</v>
      </c>
      <c r="D138" s="7"/>
      <c r="E138" s="8"/>
      <c r="F138" s="8"/>
      <c r="G138" s="8"/>
      <c r="H138" s="8"/>
      <c r="I138" s="6"/>
    </row>
    <row r="139" customFormat="false" ht="15" hidden="false" customHeight="false" outlineLevel="0" collapsed="false">
      <c r="A139" s="7" t="s">
        <v>221</v>
      </c>
      <c r="B139" s="6" t="s">
        <v>225</v>
      </c>
      <c r="C139" s="7" t="s">
        <v>223</v>
      </c>
      <c r="D139" s="7"/>
      <c r="E139" s="20"/>
      <c r="F139" s="20"/>
      <c r="G139" s="20"/>
      <c r="H139" s="20"/>
      <c r="I139" s="6"/>
    </row>
    <row r="140" customFormat="false" ht="15" hidden="false" customHeight="false" outlineLevel="0" collapsed="false">
      <c r="A140" s="7" t="s">
        <v>226</v>
      </c>
      <c r="B140" s="6" t="s">
        <v>227</v>
      </c>
      <c r="C140" s="7" t="s">
        <v>228</v>
      </c>
      <c r="D140" s="7"/>
      <c r="E140" s="8"/>
      <c r="F140" s="8"/>
      <c r="G140" s="8"/>
      <c r="H140" s="8"/>
      <c r="I140" s="6"/>
    </row>
  </sheetData>
  <mergeCells count="13">
    <mergeCell ref="A6:I6"/>
    <mergeCell ref="A25:I25"/>
    <mergeCell ref="A34:I34"/>
    <mergeCell ref="A42:I42"/>
    <mergeCell ref="A47:I47"/>
    <mergeCell ref="A75:I75"/>
    <mergeCell ref="A85:I85"/>
    <mergeCell ref="A101:I101"/>
    <mergeCell ref="A106:I106"/>
    <mergeCell ref="A115:I115"/>
    <mergeCell ref="A121:I121"/>
    <mergeCell ref="A129:I129"/>
    <mergeCell ref="A136:I136"/>
  </mergeCells>
  <conditionalFormatting sqref="E7">
    <cfRule type="cellIs" priority="2" operator="lessThan" aboveAverage="0" equalAverage="0" bottom="0" percent="0" rank="0" text="" dxfId="0">
      <formula>$D$7*1</formula>
    </cfRule>
  </conditionalFormatting>
  <conditionalFormatting sqref="F7">
    <cfRule type="cellIs" priority="3" operator="lessThan" aboveAverage="0" equalAverage="0" bottom="0" percent="0" rank="0" text="" dxfId="0">
      <formula>$D$7*1</formula>
    </cfRule>
  </conditionalFormatting>
  <conditionalFormatting sqref="G7">
    <cfRule type="cellIs" priority="4" operator="lessThan" aboveAverage="0" equalAverage="0" bottom="0" percent="0" rank="0" text="" dxfId="0">
      <formula>$D$7*1</formula>
    </cfRule>
  </conditionalFormatting>
  <conditionalFormatting sqref="H7">
    <cfRule type="cellIs" priority="5" operator="lessThan" aboveAverage="0" equalAverage="0" bottom="0" percent="0" rank="0" text="" dxfId="0">
      <formula>$D$7*1</formula>
    </cfRule>
  </conditionalFormatting>
  <conditionalFormatting sqref="E28">
    <cfRule type="cellIs" priority="6" operator="equal" aboveAverage="0" equalAverage="0" bottom="0" percent="0" rank="0" text="" dxfId="0">
      <formula>"No"</formula>
    </cfRule>
  </conditionalFormatting>
  <conditionalFormatting sqref="F28">
    <cfRule type="cellIs" priority="7" operator="equal" aboveAverage="0" equalAverage="0" bottom="0" percent="0" rank="0" text="" dxfId="0">
      <formula>"No"</formula>
    </cfRule>
  </conditionalFormatting>
  <conditionalFormatting sqref="G28">
    <cfRule type="cellIs" priority="8" operator="equal" aboveAverage="0" equalAverage="0" bottom="0" percent="0" rank="0" text="" dxfId="0">
      <formula>"No"</formula>
    </cfRule>
  </conditionalFormatting>
  <conditionalFormatting sqref="H28">
    <cfRule type="cellIs" priority="9" operator="equal" aboveAverage="0" equalAverage="0" bottom="0" percent="0" rank="0" text="" dxfId="0">
      <formula>"No"</formula>
    </cfRule>
  </conditionalFormatting>
  <conditionalFormatting sqref="E29">
    <cfRule type="cellIs" priority="10" operator="equal" aboveAverage="0" equalAverage="0" bottom="0" percent="0" rank="0" text="" dxfId="0">
      <formula>"No"</formula>
    </cfRule>
  </conditionalFormatting>
  <conditionalFormatting sqref="F29">
    <cfRule type="cellIs" priority="11" operator="equal" aboveAverage="0" equalAverage="0" bottom="0" percent="0" rank="0" text="" dxfId="0">
      <formula>"No"</formula>
    </cfRule>
  </conditionalFormatting>
  <conditionalFormatting sqref="G29">
    <cfRule type="cellIs" priority="12" operator="equal" aboveAverage="0" equalAverage="0" bottom="0" percent="0" rank="0" text="" dxfId="0">
      <formula>"No"</formula>
    </cfRule>
  </conditionalFormatting>
  <conditionalFormatting sqref="H29">
    <cfRule type="cellIs" priority="13" operator="equal" aboveAverage="0" equalAverage="0" bottom="0" percent="0" rank="0" text="" dxfId="0">
      <formula>"No"</formula>
    </cfRule>
  </conditionalFormatting>
  <conditionalFormatting sqref="E30">
    <cfRule type="cellIs" priority="14" operator="equal" aboveAverage="0" equalAverage="0" bottom="0" percent="0" rank="0" text="" dxfId="0">
      <formula>"No"</formula>
    </cfRule>
  </conditionalFormatting>
  <conditionalFormatting sqref="F30">
    <cfRule type="cellIs" priority="15" operator="equal" aboveAverage="0" equalAverage="0" bottom="0" percent="0" rank="0" text="" dxfId="0">
      <formula>"No"</formula>
    </cfRule>
  </conditionalFormatting>
  <conditionalFormatting sqref="G30">
    <cfRule type="cellIs" priority="16" operator="equal" aboveAverage="0" equalAverage="0" bottom="0" percent="0" rank="0" text="" dxfId="0">
      <formula>"No"</formula>
    </cfRule>
  </conditionalFormatting>
  <conditionalFormatting sqref="H30">
    <cfRule type="cellIs" priority="17" operator="equal" aboveAverage="0" equalAverage="0" bottom="0" percent="0" rank="0" text="" dxfId="0">
      <formula>"No"</formula>
    </cfRule>
  </conditionalFormatting>
  <conditionalFormatting sqref="E33">
    <cfRule type="cellIs" priority="18" operator="equal" aboveAverage="0" equalAverage="0" bottom="0" percent="0" rank="0" text="" dxfId="0">
      <formula>"No"</formula>
    </cfRule>
  </conditionalFormatting>
  <conditionalFormatting sqref="F33">
    <cfRule type="cellIs" priority="19" operator="equal" aboveAverage="0" equalAverage="0" bottom="0" percent="0" rank="0" text="" dxfId="0">
      <formula>"No"</formula>
    </cfRule>
  </conditionalFormatting>
  <conditionalFormatting sqref="G33">
    <cfRule type="cellIs" priority="20" operator="equal" aboveAverage="0" equalAverage="0" bottom="0" percent="0" rank="0" text="" dxfId="0">
      <formula>"No"</formula>
    </cfRule>
  </conditionalFormatting>
  <conditionalFormatting sqref="H33">
    <cfRule type="cellIs" priority="21" operator="equal" aboveAverage="0" equalAverage="0" bottom="0" percent="0" rank="0" text="" dxfId="0">
      <formula>"No"</formula>
    </cfRule>
  </conditionalFormatting>
  <conditionalFormatting sqref="E40">
    <cfRule type="cellIs" priority="22" operator="lessThan" aboveAverage="0" equalAverage="0" bottom="0" percent="0" rank="0" text="" dxfId="0">
      <formula>$D$40*1</formula>
    </cfRule>
  </conditionalFormatting>
  <conditionalFormatting sqref="F40">
    <cfRule type="cellIs" priority="23" operator="lessThan" aboveAverage="0" equalAverage="0" bottom="0" percent="0" rank="0" text="" dxfId="0">
      <formula>$D$40*1</formula>
    </cfRule>
  </conditionalFormatting>
  <conditionalFormatting sqref="G40">
    <cfRule type="cellIs" priority="24" operator="lessThan" aboveAverage="0" equalAverage="0" bottom="0" percent="0" rank="0" text="" dxfId="0">
      <formula>$D$40*1</formula>
    </cfRule>
  </conditionalFormatting>
  <conditionalFormatting sqref="H40">
    <cfRule type="cellIs" priority="25" operator="lessThan" aboveAverage="0" equalAverage="0" bottom="0" percent="0" rank="0" text="" dxfId="0">
      <formula>$D$40*1</formula>
    </cfRule>
  </conditionalFormatting>
  <conditionalFormatting sqref="E41">
    <cfRule type="cellIs" priority="26" operator="lessThan" aboveAverage="0" equalAverage="0" bottom="0" percent="0" rank="0" text="" dxfId="0">
      <formula>$D$41*1</formula>
    </cfRule>
  </conditionalFormatting>
  <conditionalFormatting sqref="F41">
    <cfRule type="cellIs" priority="27" operator="lessThan" aboveAverage="0" equalAverage="0" bottom="0" percent="0" rank="0" text="" dxfId="0">
      <formula>$D$41*1</formula>
    </cfRule>
  </conditionalFormatting>
  <conditionalFormatting sqref="G41">
    <cfRule type="cellIs" priority="28" operator="lessThan" aboveAverage="0" equalAverage="0" bottom="0" percent="0" rank="0" text="" dxfId="0">
      <formula>$D$41*1</formula>
    </cfRule>
  </conditionalFormatting>
  <conditionalFormatting sqref="H41">
    <cfRule type="cellIs" priority="29" operator="lessThan" aboveAverage="0" equalAverage="0" bottom="0" percent="0" rank="0" text="" dxfId="0">
      <formula>$D$41*1</formula>
    </cfRule>
  </conditionalFormatting>
  <conditionalFormatting sqref="E45">
    <cfRule type="cellIs" priority="30" operator="lessThan" aboveAverage="0" equalAverage="0" bottom="0" percent="0" rank="0" text="" dxfId="0">
      <formula>$D$45*1</formula>
    </cfRule>
  </conditionalFormatting>
  <conditionalFormatting sqref="F45">
    <cfRule type="cellIs" priority="31" operator="lessThan" aboveAverage="0" equalAverage="0" bottom="0" percent="0" rank="0" text="" dxfId="0">
      <formula>$D$45*1</formula>
    </cfRule>
  </conditionalFormatting>
  <conditionalFormatting sqref="G45">
    <cfRule type="cellIs" priority="32" operator="lessThan" aboveAverage="0" equalAverage="0" bottom="0" percent="0" rank="0" text="" dxfId="0">
      <formula>$D$45*1</formula>
    </cfRule>
  </conditionalFormatting>
  <conditionalFormatting sqref="H45">
    <cfRule type="cellIs" priority="33" operator="lessThan" aboveAverage="0" equalAverage="0" bottom="0" percent="0" rank="0" text="" dxfId="0">
      <formula>$D$45*1</formula>
    </cfRule>
  </conditionalFormatting>
  <conditionalFormatting sqref="E46">
    <cfRule type="cellIs" priority="34" operator="equal" aboveAverage="0" equalAverage="0" bottom="0" percent="0" rank="0" text="" dxfId="0">
      <formula>"No"</formula>
    </cfRule>
  </conditionalFormatting>
  <conditionalFormatting sqref="F46">
    <cfRule type="cellIs" priority="35" operator="equal" aboveAverage="0" equalAverage="0" bottom="0" percent="0" rank="0" text="" dxfId="0">
      <formula>"No"</formula>
    </cfRule>
  </conditionalFormatting>
  <conditionalFormatting sqref="G46">
    <cfRule type="cellIs" priority="36" operator="equal" aboveAverage="0" equalAverage="0" bottom="0" percent="0" rank="0" text="" dxfId="0">
      <formula>"No"</formula>
    </cfRule>
  </conditionalFormatting>
  <conditionalFormatting sqref="H46">
    <cfRule type="cellIs" priority="37" operator="equal" aboveAverage="0" equalAverage="0" bottom="0" percent="0" rank="0" text="" dxfId="0">
      <formula>"No"</formula>
    </cfRule>
  </conditionalFormatting>
  <conditionalFormatting sqref="E52">
    <cfRule type="cellIs" priority="38" operator="lessThan" aboveAverage="0" equalAverage="0" bottom="0" percent="0" rank="0" text="" dxfId="0">
      <formula>$D$52*1</formula>
    </cfRule>
  </conditionalFormatting>
  <conditionalFormatting sqref="F52">
    <cfRule type="cellIs" priority="39" operator="lessThan" aboveAverage="0" equalAverage="0" bottom="0" percent="0" rank="0" text="" dxfId="0">
      <formula>$D$52*1</formula>
    </cfRule>
  </conditionalFormatting>
  <conditionalFormatting sqref="G52">
    <cfRule type="cellIs" priority="40" operator="lessThan" aboveAverage="0" equalAverage="0" bottom="0" percent="0" rank="0" text="" dxfId="0">
      <formula>$D$52*1</formula>
    </cfRule>
  </conditionalFormatting>
  <conditionalFormatting sqref="H52">
    <cfRule type="cellIs" priority="41" operator="lessThan" aboveAverage="0" equalAverage="0" bottom="0" percent="0" rank="0" text="" dxfId="0">
      <formula>$D$52*1</formula>
    </cfRule>
  </conditionalFormatting>
  <conditionalFormatting sqref="E53">
    <cfRule type="cellIs" priority="42" operator="lessThan" aboveAverage="0" equalAverage="0" bottom="0" percent="0" rank="0" text="" dxfId="0">
      <formula>$D$53*1</formula>
    </cfRule>
  </conditionalFormatting>
  <conditionalFormatting sqref="F53">
    <cfRule type="cellIs" priority="43" operator="lessThan" aboveAverage="0" equalAverage="0" bottom="0" percent="0" rank="0" text="" dxfId="0">
      <formula>$D$53*1</formula>
    </cfRule>
  </conditionalFormatting>
  <conditionalFormatting sqref="G53">
    <cfRule type="cellIs" priority="44" operator="lessThan" aboveAverage="0" equalAverage="0" bottom="0" percent="0" rank="0" text="" dxfId="0">
      <formula>$D$53*1</formula>
    </cfRule>
  </conditionalFormatting>
  <conditionalFormatting sqref="H53">
    <cfRule type="cellIs" priority="45" operator="lessThan" aboveAverage="0" equalAverage="0" bottom="0" percent="0" rank="0" text="" dxfId="0">
      <formula>$D$53*1</formula>
    </cfRule>
  </conditionalFormatting>
  <conditionalFormatting sqref="E57">
    <cfRule type="cellIs" priority="46" operator="equal" aboveAverage="0" equalAverage="0" bottom="0" percent="0" rank="0" text="" dxfId="0">
      <formula>"No"</formula>
    </cfRule>
  </conditionalFormatting>
  <conditionalFormatting sqref="F57">
    <cfRule type="cellIs" priority="47" operator="equal" aboveAverage="0" equalAverage="0" bottom="0" percent="0" rank="0" text="" dxfId="0">
      <formula>"No"</formula>
    </cfRule>
  </conditionalFormatting>
  <conditionalFormatting sqref="G57">
    <cfRule type="cellIs" priority="48" operator="equal" aboveAverage="0" equalAverage="0" bottom="0" percent="0" rank="0" text="" dxfId="0">
      <formula>"No"</formula>
    </cfRule>
  </conditionalFormatting>
  <conditionalFormatting sqref="H57">
    <cfRule type="cellIs" priority="49" operator="equal" aboveAverage="0" equalAverage="0" bottom="0" percent="0" rank="0" text="" dxfId="0">
      <formula>"No"</formula>
    </cfRule>
  </conditionalFormatting>
  <conditionalFormatting sqref="E64">
    <cfRule type="cellIs" priority="50" operator="equal" aboveAverage="0" equalAverage="0" bottom="0" percent="0" rank="0" text="" dxfId="0">
      <formula>"No"</formula>
    </cfRule>
  </conditionalFormatting>
  <conditionalFormatting sqref="F64">
    <cfRule type="cellIs" priority="51" operator="equal" aboveAverage="0" equalAverage="0" bottom="0" percent="0" rank="0" text="" dxfId="0">
      <formula>"No"</formula>
    </cfRule>
  </conditionalFormatting>
  <conditionalFormatting sqref="G64">
    <cfRule type="cellIs" priority="52" operator="equal" aboveAverage="0" equalAverage="0" bottom="0" percent="0" rank="0" text="" dxfId="0">
      <formula>"No"</formula>
    </cfRule>
  </conditionalFormatting>
  <conditionalFormatting sqref="H64">
    <cfRule type="cellIs" priority="53" operator="equal" aboveAverage="0" equalAverage="0" bottom="0" percent="0" rank="0" text="" dxfId="0">
      <formula>"No"</formula>
    </cfRule>
  </conditionalFormatting>
  <conditionalFormatting sqref="E74">
    <cfRule type="cellIs" priority="54" operator="lessThan" aboveAverage="0" equalAverage="0" bottom="0" percent="0" rank="0" text="" dxfId="0">
      <formula>$D$74*1</formula>
    </cfRule>
  </conditionalFormatting>
  <conditionalFormatting sqref="F74">
    <cfRule type="cellIs" priority="55" operator="lessThan" aboveAverage="0" equalAverage="0" bottom="0" percent="0" rank="0" text="" dxfId="0">
      <formula>$D$74*1</formula>
    </cfRule>
  </conditionalFormatting>
  <conditionalFormatting sqref="G74">
    <cfRule type="cellIs" priority="56" operator="lessThan" aboveAverage="0" equalAverage="0" bottom="0" percent="0" rank="0" text="" dxfId="0">
      <formula>$D$74*1</formula>
    </cfRule>
  </conditionalFormatting>
  <conditionalFormatting sqref="H74">
    <cfRule type="cellIs" priority="57" operator="lessThan" aboveAverage="0" equalAverage="0" bottom="0" percent="0" rank="0" text="" dxfId="0">
      <formula>$D$74*1</formula>
    </cfRule>
  </conditionalFormatting>
  <conditionalFormatting sqref="E79">
    <cfRule type="cellIs" priority="58" operator="equal" aboveAverage="0" equalAverage="0" bottom="0" percent="0" rank="0" text="" dxfId="0">
      <formula>"No"</formula>
    </cfRule>
  </conditionalFormatting>
  <conditionalFormatting sqref="F79">
    <cfRule type="cellIs" priority="59" operator="equal" aboveAverage="0" equalAverage="0" bottom="0" percent="0" rank="0" text="" dxfId="0">
      <formula>"No"</formula>
    </cfRule>
  </conditionalFormatting>
  <conditionalFormatting sqref="G79">
    <cfRule type="cellIs" priority="60" operator="equal" aboveAverage="0" equalAverage="0" bottom="0" percent="0" rank="0" text="" dxfId="0">
      <formula>"No"</formula>
    </cfRule>
  </conditionalFormatting>
  <conditionalFormatting sqref="H79">
    <cfRule type="cellIs" priority="61" operator="equal" aboveAverage="0" equalAverage="0" bottom="0" percent="0" rank="0" text="" dxfId="0">
      <formula>"No"</formula>
    </cfRule>
  </conditionalFormatting>
  <conditionalFormatting sqref="E81">
    <cfRule type="cellIs" priority="62" operator="equal" aboveAverage="0" equalAverage="0" bottom="0" percent="0" rank="0" text="" dxfId="0">
      <formula>"No"</formula>
    </cfRule>
  </conditionalFormatting>
  <conditionalFormatting sqref="F81">
    <cfRule type="cellIs" priority="63" operator="equal" aboveAverage="0" equalAverage="0" bottom="0" percent="0" rank="0" text="" dxfId="0">
      <formula>"No"</formula>
    </cfRule>
  </conditionalFormatting>
  <conditionalFormatting sqref="G81">
    <cfRule type="cellIs" priority="64" operator="equal" aboveAverage="0" equalAverage="0" bottom="0" percent="0" rank="0" text="" dxfId="0">
      <formula>"No"</formula>
    </cfRule>
  </conditionalFormatting>
  <conditionalFormatting sqref="H81">
    <cfRule type="cellIs" priority="65" operator="equal" aboveAverage="0" equalAverage="0" bottom="0" percent="0" rank="0" text="" dxfId="0">
      <formula>"No"</formula>
    </cfRule>
  </conditionalFormatting>
  <conditionalFormatting sqref="E83">
    <cfRule type="cellIs" priority="66" operator="lessThan" aboveAverage="0" equalAverage="0" bottom="0" percent="0" rank="0" text="" dxfId="0">
      <formula>$D$83*1</formula>
    </cfRule>
  </conditionalFormatting>
  <conditionalFormatting sqref="F83">
    <cfRule type="cellIs" priority="67" operator="lessThan" aboveAverage="0" equalAverage="0" bottom="0" percent="0" rank="0" text="" dxfId="0">
      <formula>$D$83*1</formula>
    </cfRule>
  </conditionalFormatting>
  <conditionalFormatting sqref="G83">
    <cfRule type="cellIs" priority="68" operator="lessThan" aboveAverage="0" equalAverage="0" bottom="0" percent="0" rank="0" text="" dxfId="0">
      <formula>$D$83*1</formula>
    </cfRule>
  </conditionalFormatting>
  <conditionalFormatting sqref="H83">
    <cfRule type="cellIs" priority="69" operator="lessThan" aboveAverage="0" equalAverage="0" bottom="0" percent="0" rank="0" text="" dxfId="0">
      <formula>$D$83*1</formula>
    </cfRule>
  </conditionalFormatting>
  <conditionalFormatting sqref="E84">
    <cfRule type="cellIs" priority="70" operator="equal" aboveAverage="0" equalAverage="0" bottom="0" percent="0" rank="0" text="" dxfId="0">
      <formula>"No"</formula>
    </cfRule>
  </conditionalFormatting>
  <conditionalFormatting sqref="F84">
    <cfRule type="cellIs" priority="71" operator="equal" aboveAverage="0" equalAverage="0" bottom="0" percent="0" rank="0" text="" dxfId="0">
      <formula>"No"</formula>
    </cfRule>
  </conditionalFormatting>
  <conditionalFormatting sqref="G84">
    <cfRule type="cellIs" priority="72" operator="equal" aboveAverage="0" equalAverage="0" bottom="0" percent="0" rank="0" text="" dxfId="0">
      <formula>"No"</formula>
    </cfRule>
  </conditionalFormatting>
  <conditionalFormatting sqref="H84">
    <cfRule type="cellIs" priority="73" operator="equal" aboveAverage="0" equalAverage="0" bottom="0" percent="0" rank="0" text="" dxfId="0">
      <formula>"No"</formula>
    </cfRule>
  </conditionalFormatting>
  <conditionalFormatting sqref="E88">
    <cfRule type="cellIs" priority="74" operator="equal" aboveAverage="0" equalAverage="0" bottom="0" percent="0" rank="0" text="" dxfId="0">
      <formula>"No"</formula>
    </cfRule>
  </conditionalFormatting>
  <conditionalFormatting sqref="F88">
    <cfRule type="cellIs" priority="75" operator="equal" aboveAverage="0" equalAverage="0" bottom="0" percent="0" rank="0" text="" dxfId="0">
      <formula>"No"</formula>
    </cfRule>
  </conditionalFormatting>
  <conditionalFormatting sqref="G88">
    <cfRule type="cellIs" priority="76" operator="equal" aboveAverage="0" equalAverage="0" bottom="0" percent="0" rank="0" text="" dxfId="0">
      <formula>"No"</formula>
    </cfRule>
  </conditionalFormatting>
  <conditionalFormatting sqref="H88">
    <cfRule type="cellIs" priority="77" operator="equal" aboveAverage="0" equalAverage="0" bottom="0" percent="0" rank="0" text="" dxfId="0">
      <formula>"No"</formula>
    </cfRule>
  </conditionalFormatting>
  <conditionalFormatting sqref="E96">
    <cfRule type="cellIs" priority="78" operator="equal" aboveAverage="0" equalAverage="0" bottom="0" percent="0" rank="0" text="" dxfId="0">
      <formula>"No"</formula>
    </cfRule>
  </conditionalFormatting>
  <conditionalFormatting sqref="F96">
    <cfRule type="cellIs" priority="79" operator="equal" aboveAverage="0" equalAverage="0" bottom="0" percent="0" rank="0" text="" dxfId="0">
      <formula>"No"</formula>
    </cfRule>
  </conditionalFormatting>
  <conditionalFormatting sqref="G96">
    <cfRule type="cellIs" priority="80" operator="equal" aboveAverage="0" equalAverage="0" bottom="0" percent="0" rank="0" text="" dxfId="0">
      <formula>"No"</formula>
    </cfRule>
  </conditionalFormatting>
  <conditionalFormatting sqref="H96">
    <cfRule type="cellIs" priority="81" operator="equal" aboveAverage="0" equalAverage="0" bottom="0" percent="0" rank="0" text="" dxfId="0">
      <formula>"No"</formula>
    </cfRule>
  </conditionalFormatting>
  <conditionalFormatting sqref="E102">
    <cfRule type="cellIs" priority="82" operator="lessThan" aboveAverage="0" equalAverage="0" bottom="0" percent="0" rank="0" text="" dxfId="0">
      <formula>$D$102*1</formula>
    </cfRule>
  </conditionalFormatting>
  <conditionalFormatting sqref="F102">
    <cfRule type="cellIs" priority="83" operator="lessThan" aboveAverage="0" equalAverage="0" bottom="0" percent="0" rank="0" text="" dxfId="0">
      <formula>$D$102*1</formula>
    </cfRule>
  </conditionalFormatting>
  <conditionalFormatting sqref="G102">
    <cfRule type="cellIs" priority="84" operator="lessThan" aboveAverage="0" equalAverage="0" bottom="0" percent="0" rank="0" text="" dxfId="0">
      <formula>$D$102*1</formula>
    </cfRule>
  </conditionalFormatting>
  <conditionalFormatting sqref="H102">
    <cfRule type="cellIs" priority="85" operator="lessThan" aboveAverage="0" equalAverage="0" bottom="0" percent="0" rank="0" text="" dxfId="0">
      <formula>$D$102*1</formula>
    </cfRule>
  </conditionalFormatting>
  <conditionalFormatting sqref="E104">
    <cfRule type="cellIs" priority="86" operator="lessThan" aboveAverage="0" equalAverage="0" bottom="0" percent="0" rank="0" text="" dxfId="0">
      <formula>$D$104*1</formula>
    </cfRule>
  </conditionalFormatting>
  <conditionalFormatting sqref="F104">
    <cfRule type="cellIs" priority="87" operator="lessThan" aboveAverage="0" equalAverage="0" bottom="0" percent="0" rank="0" text="" dxfId="0">
      <formula>$D$104*1</formula>
    </cfRule>
  </conditionalFormatting>
  <conditionalFormatting sqref="G104">
    <cfRule type="cellIs" priority="88" operator="lessThan" aboveAverage="0" equalAverage="0" bottom="0" percent="0" rank="0" text="" dxfId="0">
      <formula>$D$104*1</formula>
    </cfRule>
  </conditionalFormatting>
  <conditionalFormatting sqref="H104">
    <cfRule type="cellIs" priority="89" operator="lessThan" aboveAverage="0" equalAverage="0" bottom="0" percent="0" rank="0" text="" dxfId="0">
      <formula>$D$104*1</formula>
    </cfRule>
  </conditionalFormatting>
  <conditionalFormatting sqref="E107">
    <cfRule type="cellIs" priority="90" operator="lessThan" aboveAverage="0" equalAverage="0" bottom="0" percent="0" rank="0" text="" dxfId="0">
      <formula>$D$107*1</formula>
    </cfRule>
  </conditionalFormatting>
  <conditionalFormatting sqref="F107">
    <cfRule type="cellIs" priority="91" operator="lessThan" aboveAverage="0" equalAverage="0" bottom="0" percent="0" rank="0" text="" dxfId="0">
      <formula>$D$107*1</formula>
    </cfRule>
  </conditionalFormatting>
  <conditionalFormatting sqref="G107">
    <cfRule type="cellIs" priority="92" operator="lessThan" aboveAverage="0" equalAverage="0" bottom="0" percent="0" rank="0" text="" dxfId="0">
      <formula>$D$107*1</formula>
    </cfRule>
  </conditionalFormatting>
  <conditionalFormatting sqref="H107">
    <cfRule type="cellIs" priority="93" operator="lessThan" aboveAverage="0" equalAverage="0" bottom="0" percent="0" rank="0" text="" dxfId="0">
      <formula>$D$107*1</formula>
    </cfRule>
  </conditionalFormatting>
  <conditionalFormatting sqref="E114">
    <cfRule type="cellIs" priority="94" operator="greaterThan" aboveAverage="0" equalAverage="0" bottom="0" percent="0" rank="0" text="" dxfId="0">
      <formula>$D$114*1</formula>
    </cfRule>
  </conditionalFormatting>
  <conditionalFormatting sqref="F114">
    <cfRule type="cellIs" priority="95" operator="greaterThan" aboveAverage="0" equalAverage="0" bottom="0" percent="0" rank="0" text="" dxfId="0">
      <formula>$D$114*1</formula>
    </cfRule>
  </conditionalFormatting>
  <conditionalFormatting sqref="G114">
    <cfRule type="cellIs" priority="96" operator="greaterThan" aboveAverage="0" equalAverage="0" bottom="0" percent="0" rank="0" text="" dxfId="0">
      <formula>$D$114*1</formula>
    </cfRule>
  </conditionalFormatting>
  <conditionalFormatting sqref="H114">
    <cfRule type="cellIs" priority="97" operator="greaterThan" aboveAverage="0" equalAverage="0" bottom="0" percent="0" rank="0" text="" dxfId="0">
      <formula>$D$114*1</formula>
    </cfRule>
  </conditionalFormatting>
  <conditionalFormatting sqref="E116">
    <cfRule type="cellIs" priority="98" operator="lessThan" aboveAverage="0" equalAverage="0" bottom="0" percent="0" rank="0" text="" dxfId="0">
      <formula>$D$116*1</formula>
    </cfRule>
  </conditionalFormatting>
  <conditionalFormatting sqref="F116">
    <cfRule type="cellIs" priority="99" operator="lessThan" aboveAverage="0" equalAverage="0" bottom="0" percent="0" rank="0" text="" dxfId="0">
      <formula>$D$116*1</formula>
    </cfRule>
  </conditionalFormatting>
  <conditionalFormatting sqref="G116">
    <cfRule type="cellIs" priority="100" operator="lessThan" aboveAverage="0" equalAverage="0" bottom="0" percent="0" rank="0" text="" dxfId="0">
      <formula>$D$116*1</formula>
    </cfRule>
  </conditionalFormatting>
  <conditionalFormatting sqref="H116">
    <cfRule type="cellIs" priority="101" operator="lessThan" aboveAverage="0" equalAverage="0" bottom="0" percent="0" rank="0" text="" dxfId="0">
      <formula>$D$116*1</formula>
    </cfRule>
  </conditionalFormatting>
  <conditionalFormatting sqref="E118">
    <cfRule type="cellIs" priority="102" operator="lessThan" aboveAverage="0" equalAverage="0" bottom="0" percent="0" rank="0" text="" dxfId="0">
      <formula>$D$118*1</formula>
    </cfRule>
  </conditionalFormatting>
  <conditionalFormatting sqref="F118">
    <cfRule type="cellIs" priority="103" operator="lessThan" aboveAverage="0" equalAverage="0" bottom="0" percent="0" rank="0" text="" dxfId="0">
      <formula>$D$118*1</formula>
    </cfRule>
  </conditionalFormatting>
  <conditionalFormatting sqref="G118">
    <cfRule type="cellIs" priority="104" operator="lessThan" aboveAverage="0" equalAverage="0" bottom="0" percent="0" rank="0" text="" dxfId="0">
      <formula>$D$118*1</formula>
    </cfRule>
  </conditionalFormatting>
  <conditionalFormatting sqref="H118">
    <cfRule type="cellIs" priority="105" operator="lessThan" aboveAverage="0" equalAverage="0" bottom="0" percent="0" rank="0" text="" dxfId="0">
      <formula>$D$118*1</formula>
    </cfRule>
  </conditionalFormatting>
  <conditionalFormatting sqref="E120">
    <cfRule type="cellIs" priority="106" operator="lessThan" aboveAverage="0" equalAverage="0" bottom="0" percent="0" rank="0" text="" dxfId="0">
      <formula>$D$120*1</formula>
    </cfRule>
  </conditionalFormatting>
  <conditionalFormatting sqref="F120">
    <cfRule type="cellIs" priority="107" operator="lessThan" aboveAverage="0" equalAverage="0" bottom="0" percent="0" rank="0" text="" dxfId="0">
      <formula>$D$120*1</formula>
    </cfRule>
  </conditionalFormatting>
  <conditionalFormatting sqref="G120">
    <cfRule type="cellIs" priority="108" operator="lessThan" aboveAverage="0" equalAverage="0" bottom="0" percent="0" rank="0" text="" dxfId="0">
      <formula>$D$120*1</formula>
    </cfRule>
  </conditionalFormatting>
  <conditionalFormatting sqref="H120">
    <cfRule type="cellIs" priority="109" operator="lessThan" aboveAverage="0" equalAverage="0" bottom="0" percent="0" rank="0" text="" dxfId="0">
      <formula>$D$120*1</formula>
    </cfRule>
  </conditionalFormatting>
  <conditionalFormatting sqref="E127">
    <cfRule type="cellIs" priority="110" operator="lessThan" aboveAverage="0" equalAverage="0" bottom="0" percent="0" rank="0" text="" dxfId="0">
      <formula>$D$127*1</formula>
    </cfRule>
  </conditionalFormatting>
  <conditionalFormatting sqref="F127">
    <cfRule type="cellIs" priority="111" operator="lessThan" aboveAverage="0" equalAverage="0" bottom="0" percent="0" rank="0" text="" dxfId="0">
      <formula>$D$127*1</formula>
    </cfRule>
  </conditionalFormatting>
  <conditionalFormatting sqref="G127">
    <cfRule type="cellIs" priority="112" operator="lessThan" aboveAverage="0" equalAverage="0" bottom="0" percent="0" rank="0" text="" dxfId="0">
      <formula>$D$127*1</formula>
    </cfRule>
  </conditionalFormatting>
  <conditionalFormatting sqref="H127">
    <cfRule type="cellIs" priority="113" operator="lessThan" aboveAverage="0" equalAverage="0" bottom="0" percent="0" rank="0" text="" dxfId="0">
      <formula>$D$127*1</formula>
    </cfRule>
  </conditionalFormatting>
  <conditionalFormatting sqref="E131">
    <cfRule type="cellIs" priority="114" operator="equal" aboveAverage="0" equalAverage="0" bottom="0" percent="0" rank="0" text="" dxfId="0">
      <formula>"No"</formula>
    </cfRule>
  </conditionalFormatting>
  <conditionalFormatting sqref="F131">
    <cfRule type="cellIs" priority="115" operator="equal" aboveAverage="0" equalAverage="0" bottom="0" percent="0" rank="0" text="" dxfId="0">
      <formula>"No"</formula>
    </cfRule>
  </conditionalFormatting>
  <conditionalFormatting sqref="G131">
    <cfRule type="cellIs" priority="116" operator="equal" aboveAverage="0" equalAverage="0" bottom="0" percent="0" rank="0" text="" dxfId="0">
      <formula>"No"</formula>
    </cfRule>
  </conditionalFormatting>
  <conditionalFormatting sqref="H131">
    <cfRule type="cellIs" priority="117" operator="equal" aboveAverage="0" equalAverage="0" bottom="0" percent="0" rank="0" text="" dxfId="0">
      <formula>"No"</formula>
    </cfRule>
  </conditionalFormatting>
  <conditionalFormatting sqref="E135">
    <cfRule type="cellIs" priority="118" operator="equal" aboveAverage="0" equalAverage="0" bottom="0" percent="0" rank="0" text="" dxfId="0">
      <formula>"No"</formula>
    </cfRule>
  </conditionalFormatting>
  <conditionalFormatting sqref="F135">
    <cfRule type="cellIs" priority="119" operator="equal" aboveAverage="0" equalAverage="0" bottom="0" percent="0" rank="0" text="" dxfId="0">
      <formula>"No"</formula>
    </cfRule>
  </conditionalFormatting>
  <conditionalFormatting sqref="G135">
    <cfRule type="cellIs" priority="120" operator="equal" aboveAverage="0" equalAverage="0" bottom="0" percent="0" rank="0" text="" dxfId="0">
      <formula>"No"</formula>
    </cfRule>
  </conditionalFormatting>
  <conditionalFormatting sqref="H135">
    <cfRule type="cellIs" priority="121" operator="equal" aboveAverage="0" equalAverage="0" bottom="0" percent="0" rank="0" text="" dxfId="0">
      <formula>"No"</formula>
    </cfRule>
  </conditionalFormatting>
  <dataValidations count="1">
    <dataValidation allowBlank="true" errorStyle="stop" operator="between" showDropDown="false" showErrorMessage="false" showInputMessage="false" sqref="E28:H30 E33:H33 E46:H46 E57:H57 E64:H64 E72:H72 E79:H79 E81:H81 E84:H84 E88:H88 E96:H96 E111:H111 E128:H128 E131:H131 E135:H135" type="list">
      <formula1>"Sí,No"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1"/>
    <col collapsed="false" customWidth="true" hidden="false" outlineLevel="0" max="6" min="3" style="0" width="18"/>
  </cols>
  <sheetData>
    <row r="1" customFormat="false" ht="17.35" hidden="false" customHeight="false" outlineLevel="0" collapsed="false">
      <c r="A1" s="1" t="s">
        <v>229</v>
      </c>
    </row>
    <row r="2" customFormat="false" ht="15" hidden="false" customHeight="false" outlineLevel="0" collapsed="false">
      <c r="A2" s="10" t="s">
        <v>230</v>
      </c>
    </row>
    <row r="3" customFormat="false" ht="15" hidden="false" customHeight="false" outlineLevel="0" collapsed="false">
      <c r="A3" s="4" t="s">
        <v>231</v>
      </c>
      <c r="B3" s="21" t="n">
        <v>205</v>
      </c>
      <c r="C3" s="10" t="s">
        <v>232</v>
      </c>
    </row>
    <row r="5" customFormat="false" ht="15" hidden="false" customHeight="false" outlineLevel="0" collapsed="false">
      <c r="A5" s="5" t="s">
        <v>233</v>
      </c>
      <c r="B5" s="5" t="s">
        <v>31</v>
      </c>
      <c r="C5" s="5" t="s">
        <v>19</v>
      </c>
      <c r="D5" s="5" t="s">
        <v>33</v>
      </c>
      <c r="E5" s="5" t="s">
        <v>34</v>
      </c>
      <c r="F5" s="5" t="s">
        <v>35</v>
      </c>
    </row>
    <row r="6" customFormat="false" ht="15" hidden="false" customHeight="false" outlineLevel="0" collapsed="false">
      <c r="A6" s="12" t="s">
        <v>37</v>
      </c>
      <c r="B6" s="11"/>
      <c r="C6" s="22" t="str">
        <f aca="false">IF('Comparativo técnico'!E5="","",'Comparativo técnico'!E5)</f>
        <v/>
      </c>
      <c r="D6" s="22" t="str">
        <f aca="false">IF('Comparativo técnico'!F5="","",'Comparativo técnico'!F5)</f>
        <v/>
      </c>
      <c r="E6" s="22" t="str">
        <f aca="false">IF('Comparativo técnico'!G5="","",'Comparativo técnico'!G5)</f>
        <v/>
      </c>
      <c r="F6" s="22" t="str">
        <f aca="false">IF('Comparativo técnico'!H5="","",'Comparativo técnico'!H5)</f>
        <v/>
      </c>
    </row>
    <row r="7" customFormat="false" ht="15" hidden="false" customHeight="false" outlineLevel="0" collapsed="false">
      <c r="A7" s="6" t="s">
        <v>234</v>
      </c>
      <c r="B7" s="7" t="s">
        <v>235</v>
      </c>
      <c r="C7" s="23"/>
      <c r="D7" s="23"/>
      <c r="E7" s="23"/>
      <c r="F7" s="23"/>
    </row>
    <row r="8" customFormat="false" ht="15" hidden="false" customHeight="false" outlineLevel="0" collapsed="false">
      <c r="A8" s="6" t="s">
        <v>236</v>
      </c>
      <c r="B8" s="7" t="s">
        <v>65</v>
      </c>
      <c r="C8" s="23"/>
      <c r="D8" s="23"/>
      <c r="E8" s="23"/>
      <c r="F8" s="23"/>
    </row>
    <row r="9" customFormat="false" ht="15" hidden="false" customHeight="false" outlineLevel="0" collapsed="false">
      <c r="A9" s="6" t="s">
        <v>237</v>
      </c>
      <c r="B9" s="7" t="s">
        <v>80</v>
      </c>
      <c r="C9" s="23"/>
      <c r="D9" s="23"/>
      <c r="E9" s="23"/>
      <c r="F9" s="23"/>
    </row>
    <row r="10" customFormat="false" ht="15" hidden="false" customHeight="false" outlineLevel="0" collapsed="false">
      <c r="A10" s="6" t="s">
        <v>238</v>
      </c>
      <c r="B10" s="7" t="s">
        <v>92</v>
      </c>
      <c r="C10" s="23"/>
      <c r="D10" s="23"/>
      <c r="E10" s="23"/>
      <c r="F10" s="23"/>
    </row>
    <row r="11" customFormat="false" ht="15" hidden="false" customHeight="false" outlineLevel="0" collapsed="false">
      <c r="A11" s="6" t="s">
        <v>239</v>
      </c>
      <c r="B11" s="7" t="s">
        <v>99</v>
      </c>
      <c r="C11" s="23"/>
      <c r="D11" s="23"/>
      <c r="E11" s="23"/>
      <c r="F11" s="23"/>
    </row>
    <row r="12" customFormat="false" ht="15" hidden="false" customHeight="false" outlineLevel="0" collapsed="false">
      <c r="A12" s="6" t="s">
        <v>240</v>
      </c>
      <c r="B12" s="7" t="s">
        <v>241</v>
      </c>
      <c r="C12" s="23"/>
      <c r="D12" s="23"/>
      <c r="E12" s="23"/>
      <c r="F12" s="23"/>
    </row>
    <row r="13" customFormat="false" ht="15" hidden="false" customHeight="false" outlineLevel="0" collapsed="false">
      <c r="A13" s="6" t="s">
        <v>242</v>
      </c>
      <c r="B13" s="7" t="s">
        <v>141</v>
      </c>
      <c r="C13" s="23"/>
      <c r="D13" s="23"/>
      <c r="E13" s="23"/>
      <c r="F13" s="23"/>
    </row>
    <row r="14" customFormat="false" ht="15" hidden="false" customHeight="false" outlineLevel="0" collapsed="false">
      <c r="A14" s="6" t="s">
        <v>243</v>
      </c>
      <c r="B14" s="7" t="s">
        <v>244</v>
      </c>
      <c r="C14" s="23"/>
      <c r="D14" s="23"/>
      <c r="E14" s="23"/>
      <c r="F14" s="23"/>
    </row>
    <row r="15" customFormat="false" ht="15" hidden="false" customHeight="false" outlineLevel="0" collapsed="false">
      <c r="A15" s="6" t="s">
        <v>245</v>
      </c>
      <c r="B15" s="7" t="s">
        <v>173</v>
      </c>
      <c r="C15" s="23"/>
      <c r="D15" s="23"/>
      <c r="E15" s="23"/>
      <c r="F15" s="23"/>
    </row>
    <row r="16" customFormat="false" ht="15" hidden="false" customHeight="false" outlineLevel="0" collapsed="false">
      <c r="A16" s="6" t="s">
        <v>246</v>
      </c>
      <c r="B16" s="7" t="s">
        <v>178</v>
      </c>
      <c r="C16" s="23"/>
      <c r="D16" s="23"/>
      <c r="E16" s="23"/>
      <c r="F16" s="23"/>
    </row>
    <row r="17" customFormat="false" ht="15" hidden="false" customHeight="false" outlineLevel="0" collapsed="false">
      <c r="A17" s="6" t="s">
        <v>247</v>
      </c>
      <c r="B17" s="7" t="s">
        <v>188</v>
      </c>
      <c r="C17" s="23"/>
      <c r="D17" s="23"/>
      <c r="E17" s="23"/>
      <c r="F17" s="23"/>
    </row>
    <row r="18" customFormat="false" ht="15" hidden="false" customHeight="false" outlineLevel="0" collapsed="false">
      <c r="A18" s="6" t="s">
        <v>248</v>
      </c>
      <c r="B18" s="7" t="s">
        <v>196</v>
      </c>
      <c r="C18" s="23"/>
      <c r="D18" s="23"/>
      <c r="E18" s="23"/>
      <c r="F18" s="23"/>
    </row>
    <row r="19" customFormat="false" ht="15" hidden="false" customHeight="false" outlineLevel="0" collapsed="false">
      <c r="A19" s="6" t="s">
        <v>249</v>
      </c>
      <c r="B19" s="7" t="s">
        <v>204</v>
      </c>
      <c r="C19" s="23"/>
      <c r="D19" s="23"/>
      <c r="E19" s="23"/>
      <c r="F19" s="23"/>
    </row>
    <row r="20" customFormat="false" ht="15" hidden="false" customHeight="false" outlineLevel="0" collapsed="false">
      <c r="A20" s="6" t="s">
        <v>250</v>
      </c>
      <c r="B20" s="7" t="s">
        <v>53</v>
      </c>
      <c r="C20" s="23"/>
      <c r="D20" s="23"/>
      <c r="E20" s="23"/>
      <c r="F20" s="23"/>
    </row>
    <row r="21" customFormat="false" ht="15" hidden="false" customHeight="false" outlineLevel="0" collapsed="false">
      <c r="A21" s="6" t="s">
        <v>251</v>
      </c>
      <c r="B21" s="7" t="s">
        <v>217</v>
      </c>
      <c r="C21" s="23"/>
      <c r="D21" s="23"/>
      <c r="E21" s="23"/>
      <c r="F21" s="23"/>
    </row>
    <row r="22" customFormat="false" ht="15" hidden="false" customHeight="false" outlineLevel="0" collapsed="false">
      <c r="A22" s="12" t="s">
        <v>252</v>
      </c>
      <c r="B22" s="11"/>
      <c r="C22" s="24" t="n">
        <f aca="false">SUM(C7:C21)</f>
        <v>0</v>
      </c>
      <c r="D22" s="24" t="n">
        <f aca="false">SUM(D7:D21)</f>
        <v>0</v>
      </c>
      <c r="E22" s="24" t="n">
        <f aca="false">SUM(E7:E21)</f>
        <v>0</v>
      </c>
      <c r="F22" s="24" t="n">
        <f aca="false">SUM(F7:F21)</f>
        <v>0</v>
      </c>
    </row>
    <row r="23" customFormat="false" ht="15" hidden="false" customHeight="false" outlineLevel="0" collapsed="false">
      <c r="A23" s="25" t="s">
        <v>253</v>
      </c>
      <c r="B23" s="11"/>
      <c r="C23" s="26" t="n">
        <f aca="false">'Comparativo técnico'!E137</f>
        <v>0</v>
      </c>
      <c r="D23" s="26" t="n">
        <f aca="false">'Comparativo técnico'!F137</f>
        <v>0</v>
      </c>
      <c r="E23" s="26" t="n">
        <f aca="false">'Comparativo técnico'!G137</f>
        <v>0</v>
      </c>
      <c r="F23" s="26" t="n">
        <f aca="false">'Comparativo técnico'!H137</f>
        <v>0</v>
      </c>
    </row>
    <row r="24" customFormat="false" ht="15" hidden="false" customHeight="false" outlineLevel="0" collapsed="false">
      <c r="A24" s="25" t="s">
        <v>254</v>
      </c>
      <c r="B24" s="11"/>
      <c r="C24" s="27" t="n">
        <f aca="false">C22*C23</f>
        <v>0</v>
      </c>
      <c r="D24" s="27" t="n">
        <f aca="false">D22*D23</f>
        <v>0</v>
      </c>
      <c r="E24" s="27" t="n">
        <f aca="false">E22*E23</f>
        <v>0</v>
      </c>
      <c r="F24" s="27" t="n">
        <f aca="false">F22*F23</f>
        <v>0</v>
      </c>
    </row>
    <row r="25" customFormat="false" ht="15" hidden="false" customHeight="false" outlineLevel="0" collapsed="false">
      <c r="A25" s="12" t="s">
        <v>255</v>
      </c>
      <c r="B25" s="11"/>
      <c r="C25" s="24" t="n">
        <f aca="false">C22+C24</f>
        <v>0</v>
      </c>
      <c r="D25" s="24" t="n">
        <f aca="false">D22+D24</f>
        <v>0</v>
      </c>
      <c r="E25" s="24" t="n">
        <f aca="false">E22+E24</f>
        <v>0</v>
      </c>
      <c r="F25" s="24" t="n">
        <f aca="false">F22+F24</f>
        <v>0</v>
      </c>
    </row>
    <row r="26" customFormat="false" ht="15" hidden="false" customHeight="false" outlineLevel="0" collapsed="false">
      <c r="A26" s="12" t="s">
        <v>256</v>
      </c>
      <c r="B26" s="11"/>
      <c r="C26" s="24" t="str">
        <f aca="false">IF(C25&gt;0,C25/$B$3,"")</f>
        <v/>
      </c>
      <c r="D26" s="24" t="str">
        <f aca="false">IF(D25&gt;0,D25/$B$3,"")</f>
        <v/>
      </c>
      <c r="E26" s="24" t="str">
        <f aca="false">IF(E25&gt;0,E25/$B$3,"")</f>
        <v/>
      </c>
      <c r="F26" s="24" t="str">
        <f aca="false">IF(F25&gt;0,F25/$B$3,"")</f>
        <v/>
      </c>
    </row>
    <row r="27" customFormat="false" ht="15" hidden="false" customHeight="false" outlineLevel="0" collapsed="false">
      <c r="A27" s="25" t="s">
        <v>257</v>
      </c>
      <c r="B27" s="11"/>
      <c r="C27" s="28" t="str">
        <f aca="false" t="array" ref="C27:C27">IF(C25&gt;0,C25/MIN(IF($C$25:$F$25&gt;0,$C$25:$F$25))-1,"")</f>
        <v/>
      </c>
      <c r="D27" s="28" t="str">
        <f aca="false" t="array" ref="D27:D27">IF(D25&gt;0,D25/MIN(IF($C$25:$F$25&gt;0,$C$25:$F$25))-1,"")</f>
        <v/>
      </c>
      <c r="E27" s="28" t="str">
        <f aca="false" t="array" ref="E27:E27">IF(E25&gt;0,E25/MIN(IF($C$25:$F$25&gt;0,$C$25:$F$25))-1,"")</f>
        <v/>
      </c>
      <c r="F27" s="28" t="str">
        <f aca="false" t="array" ref="F27:F27">IF(F25&gt;0,F25/MIN(IF($C$25:$F$25&gt;0,$C$25:$F$25))-1,"")</f>
        <v/>
      </c>
    </row>
    <row r="28" customFormat="false" ht="15" hidden="false" customHeight="false" outlineLevel="0" collapsed="false">
      <c r="A28" s="25" t="s">
        <v>258</v>
      </c>
      <c r="B28" s="11"/>
      <c r="C28" s="29" t="str">
        <f aca="false">IF(C25&gt;0,COUNTIFS($C$25:$F$25,"&gt;0",$C$25:$F$25,"&lt;"&amp;C25)+1,"")</f>
        <v/>
      </c>
      <c r="D28" s="29" t="str">
        <f aca="false">IF(D25&gt;0,COUNTIFS($C$25:$F$25,"&gt;0",$C$25:$F$25,"&lt;"&amp;D25)+1,"")</f>
        <v/>
      </c>
      <c r="E28" s="29" t="str">
        <f aca="false">IF(E25&gt;0,COUNTIFS($C$25:$F$25,"&gt;0",$C$25:$F$25,"&lt;"&amp;E25)+1,"")</f>
        <v/>
      </c>
      <c r="F28" s="29" t="str">
        <f aca="false">IF(F25&gt;0,COUNTIFS($C$25:$F$25,"&gt;0",$C$25:$F$25,"&lt;"&amp;F25)+1,"")</f>
        <v/>
      </c>
    </row>
    <row r="30" customFormat="false" ht="15" hidden="false" customHeight="false" outlineLevel="0" collapsed="false">
      <c r="A30" s="4" t="s">
        <v>259</v>
      </c>
    </row>
    <row r="31" customFormat="false" ht="15" hidden="false" customHeight="false" outlineLevel="0" collapsed="false">
      <c r="A31" s="25" t="s">
        <v>260</v>
      </c>
      <c r="B31" s="11" t="s">
        <v>261</v>
      </c>
      <c r="C31" s="23"/>
      <c r="D31" s="23"/>
      <c r="E31" s="23"/>
      <c r="F31" s="23"/>
    </row>
    <row r="32" customFormat="false" ht="15" hidden="false" customHeight="false" outlineLevel="0" collapsed="false">
      <c r="A32" s="25" t="s">
        <v>262</v>
      </c>
      <c r="B32" s="11" t="s">
        <v>261</v>
      </c>
      <c r="C32" s="23"/>
      <c r="D32" s="23"/>
      <c r="E32" s="23"/>
      <c r="F32" s="2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0"/>
    <col collapsed="false" customWidth="true" hidden="false" outlineLevel="0" max="6" min="3" style="0" width="18"/>
  </cols>
  <sheetData>
    <row r="1" customFormat="false" ht="17.35" hidden="false" customHeight="false" outlineLevel="0" collapsed="false">
      <c r="A1" s="1" t="s">
        <v>263</v>
      </c>
    </row>
    <row r="2" customFormat="false" ht="15" hidden="false" customHeight="false" outlineLevel="0" collapsed="false">
      <c r="A2" s="10" t="s">
        <v>264</v>
      </c>
    </row>
    <row r="4" customFormat="false" ht="15" hidden="false" customHeight="false" outlineLevel="0" collapsed="false">
      <c r="A4" s="5" t="s">
        <v>265</v>
      </c>
      <c r="B4" s="5" t="s">
        <v>266</v>
      </c>
      <c r="C4" s="5" t="s">
        <v>19</v>
      </c>
      <c r="D4" s="5" t="s">
        <v>33</v>
      </c>
      <c r="E4" s="5" t="s">
        <v>34</v>
      </c>
      <c r="F4" s="5" t="s">
        <v>35</v>
      </c>
    </row>
    <row r="5" customFormat="false" ht="15" hidden="false" customHeight="false" outlineLevel="0" collapsed="false">
      <c r="A5" s="4" t="s">
        <v>37</v>
      </c>
      <c r="C5" s="22" t="str">
        <f aca="false">IF('Comparativo técnico'!E5="","",'Comparativo técnico'!E5)</f>
        <v/>
      </c>
      <c r="D5" s="22" t="str">
        <f aca="false">IF('Comparativo técnico'!F5="","",'Comparativo técnico'!F5)</f>
        <v/>
      </c>
      <c r="E5" s="22" t="str">
        <f aca="false">IF('Comparativo técnico'!G5="","",'Comparativo técnico'!G5)</f>
        <v/>
      </c>
      <c r="F5" s="22" t="str">
        <f aca="false">IF('Comparativo técnico'!H5="","",'Comparativo técnico'!H5)</f>
        <v/>
      </c>
    </row>
    <row r="6" customFormat="false" ht="15" hidden="false" customHeight="false" outlineLevel="0" collapsed="false">
      <c r="A6" s="6" t="s">
        <v>267</v>
      </c>
      <c r="B6" s="30" t="n">
        <v>0.2</v>
      </c>
      <c r="C6" s="31"/>
      <c r="D6" s="31"/>
      <c r="E6" s="31"/>
      <c r="F6" s="31"/>
    </row>
    <row r="7" customFormat="false" ht="15" hidden="false" customHeight="false" outlineLevel="0" collapsed="false">
      <c r="A7" s="6" t="s">
        <v>268</v>
      </c>
      <c r="B7" s="30" t="n">
        <v>0.15</v>
      </c>
      <c r="C7" s="31"/>
      <c r="D7" s="31"/>
      <c r="E7" s="31"/>
      <c r="F7" s="31"/>
    </row>
    <row r="8" customFormat="false" ht="15" hidden="false" customHeight="false" outlineLevel="0" collapsed="false">
      <c r="A8" s="6" t="s">
        <v>269</v>
      </c>
      <c r="B8" s="30" t="n">
        <v>0.15</v>
      </c>
      <c r="C8" s="31"/>
      <c r="D8" s="31"/>
      <c r="E8" s="31"/>
      <c r="F8" s="31"/>
    </row>
    <row r="9" customFormat="false" ht="15" hidden="false" customHeight="false" outlineLevel="0" collapsed="false">
      <c r="A9" s="6" t="s">
        <v>270</v>
      </c>
      <c r="B9" s="30" t="n">
        <v>0.1</v>
      </c>
      <c r="C9" s="31"/>
      <c r="D9" s="31"/>
      <c r="E9" s="31"/>
      <c r="F9" s="31"/>
    </row>
    <row r="10" customFormat="false" ht="15" hidden="false" customHeight="false" outlineLevel="0" collapsed="false">
      <c r="A10" s="6" t="s">
        <v>271</v>
      </c>
      <c r="B10" s="30" t="n">
        <v>0.1</v>
      </c>
      <c r="C10" s="31"/>
      <c r="D10" s="31"/>
      <c r="E10" s="31"/>
      <c r="F10" s="31"/>
    </row>
    <row r="11" customFormat="false" ht="15" hidden="false" customHeight="false" outlineLevel="0" collapsed="false">
      <c r="A11" s="6" t="s">
        <v>272</v>
      </c>
      <c r="B11" s="30" t="n">
        <v>0.3</v>
      </c>
      <c r="C11" s="32" t="str">
        <f aca="false" t="array" ref="C11:C11">IF(Costos!C25&gt;0,5*MIN(IF(Costos!$C$25:$F$25&gt;0,Costos!$C$25:$F$25))/Costos!C25,"")</f>
        <v/>
      </c>
      <c r="D11" s="32" t="str">
        <f aca="false" t="array" ref="D11:D11">IF(Costos!D25&gt;0,5*MIN(IF(Costos!$C$25:$F$25&gt;0,Costos!$C$25:$F$25))/Costos!D25,"")</f>
        <v/>
      </c>
      <c r="E11" s="32" t="str">
        <f aca="false" t="array" ref="E11:E11">IF(Costos!E25&gt;0,5*MIN(IF(Costos!$C$25:$F$25&gt;0,Costos!$C$25:$F$25))/Costos!E25,"")</f>
        <v/>
      </c>
      <c r="F11" s="32" t="str">
        <f aca="false" t="array" ref="F11:F11">IF(Costos!F25&gt;0,5*MIN(IF(Costos!$C$25:$F$25&gt;0,Costos!$C$25:$F$25))/Costos!F25,"")</f>
        <v/>
      </c>
    </row>
    <row r="12" customFormat="false" ht="15" hidden="false" customHeight="false" outlineLevel="0" collapsed="false">
      <c r="A12" s="4" t="s">
        <v>273</v>
      </c>
      <c r="B12" s="33" t="n">
        <f aca="false">SUM(B6:B11)</f>
        <v>1</v>
      </c>
    </row>
    <row r="13" customFormat="false" ht="15" hidden="false" customHeight="false" outlineLevel="0" collapsed="false">
      <c r="A13" s="12" t="s">
        <v>274</v>
      </c>
      <c r="B13" s="11"/>
      <c r="C13" s="34" t="str">
        <f aca="false">IF(COUNT(C6:C11)=0,"",SUMPRODUCT($B$6:$B$11,C6:C11))</f>
        <v/>
      </c>
      <c r="D13" s="34" t="str">
        <f aca="false">IF(COUNT(D6:D11)=0,"",SUMPRODUCT($B$6:$B$11,D6:D11))</f>
        <v/>
      </c>
      <c r="E13" s="34" t="str">
        <f aca="false">IF(COUNT(E6:E11)=0,"",SUMPRODUCT($B$6:$B$11,E6:E11))</f>
        <v/>
      </c>
      <c r="F13" s="34" t="str">
        <f aca="false">IF(COUNT(F6:F11)=0,"",SUMPRODUCT($B$6:$B$11,F6:F11))</f>
        <v/>
      </c>
    </row>
    <row r="14" customFormat="false" ht="15" hidden="false" customHeight="false" outlineLevel="0" collapsed="false">
      <c r="A14" s="12" t="s">
        <v>275</v>
      </c>
      <c r="B14" s="11"/>
      <c r="C14" s="35" t="str">
        <f aca="false">IF(C13="","",COUNTIF($C$13:$F$13,"&gt;"&amp;C13)+1)</f>
        <v/>
      </c>
      <c r="D14" s="35" t="str">
        <f aca="false">IF(D13="","",COUNTIF($C$13:$F$13,"&gt;"&amp;D13)+1)</f>
        <v/>
      </c>
      <c r="E14" s="35" t="str">
        <f aca="false">IF(E13="","",COUNTIF($C$13:$F$13,"&gt;"&amp;E13)+1)</f>
        <v/>
      </c>
      <c r="F14" s="35" t="str">
        <f aca="false">IF(F13="","",COUNTIF($C$13:$F$13,"&gt;"&amp;F13)+1)</f>
        <v/>
      </c>
    </row>
  </sheetData>
  <conditionalFormatting sqref="B12">
    <cfRule type="cellIs" priority="2" operator="notEqual" aboveAverage="0" equalAverage="0" bottom="0" percent="0" rank="0" text="" dxfId="0">
      <formula>1</formula>
    </cfRule>
  </conditionalFormatting>
  <dataValidations count="1">
    <dataValidation allowBlank="true" errorStyle="stop" operator="between" showDropDown="false" showErrorMessage="false" showInputMessage="false" sqref="C6:F10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2026-10-15T18:13:50Z</dcterms:created>
  <dc:creator>openpyxl</dc:creator>
  <dc:description/>
  <dc:language>en-US</dc:language>
  <cp:lastModifiedBy/>
  <dcterms:modified xsi:type="dcterms:W3CDTF">2026-10-15T18:13:50Z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